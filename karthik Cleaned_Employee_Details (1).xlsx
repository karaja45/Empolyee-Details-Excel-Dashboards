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24226"/>
  <xr:revisionPtr revIDLastSave="0" documentId="8_{52F88E4F-E5D0-4E72-B01B-BBB03975FF7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ain Data" sheetId="1" r:id="rId1"/>
    <sheet name="Formulas" sheetId="2" r:id="rId2"/>
    <sheet name="Avg salary of Dept" sheetId="3" r:id="rId3"/>
    <sheet name="Salary of country vs Dept" sheetId="4" r:id="rId4"/>
    <sheet name="Count of Gender in Country" sheetId="5" r:id="rId5"/>
    <sheet name="Total sum &amp; Avg of employee" sheetId="8" r:id="rId6"/>
    <sheet name="Country vs Name" sheetId="10" r:id="rId7"/>
    <sheet name="Max salary" sheetId="11" r:id="rId8"/>
    <sheet name="Dashboard" sheetId="12" r:id="rId9"/>
  </sheets>
  <definedNames>
    <definedName name="Slicer_Country">#N/A</definedName>
    <definedName name="Slicer_Department">#N/A</definedName>
    <definedName name="Slicer_Department1">#N/A</definedName>
    <definedName name="Slicer_Department2">#N/A</definedName>
    <definedName name="Slicer_Department3">#N/A</definedName>
    <definedName name="Slicer_Name">#N/A</definedName>
    <definedName name="Slicer_Performance_Rating">#N/A</definedName>
    <definedName name="Slicer_Salary">#N/A</definedName>
  </definedNames>
  <calcPr calcId="191028"/>
  <pivotCaches>
    <pivotCache cacheId="509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G3" i="2"/>
  <c r="G2" i="2"/>
</calcChain>
</file>

<file path=xl/sharedStrings.xml><?xml version="1.0" encoding="utf-8"?>
<sst xmlns="http://schemas.openxmlformats.org/spreadsheetml/2006/main" count="850" uniqueCount="311">
  <si>
    <t>Employee ID</t>
  </si>
  <si>
    <t>Name</t>
  </si>
  <si>
    <t>Department</t>
  </si>
  <si>
    <t>Country</t>
  </si>
  <si>
    <t>Date of Joining</t>
  </si>
  <si>
    <t>Performance Rating</t>
  </si>
  <si>
    <t>Gender</t>
  </si>
  <si>
    <t>Email</t>
  </si>
  <si>
    <t>Date</t>
  </si>
  <si>
    <t>Salary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</si>
  <si>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</si>
  <si>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</si>
  <si>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</si>
  <si>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</si>
  <si>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</si>
  <si>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</si>
  <si>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</si>
  <si>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</si>
  <si>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</si>
  <si>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Unknown</t>
  </si>
  <si>
    <t>user176@example.com</t>
  </si>
  <si>
    <t>*Blank cells in country are marked in pink color by conditional formating tool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</si>
  <si>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</si>
  <si>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</si>
  <si>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</si>
  <si>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</si>
  <si>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</si>
  <si>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</si>
  <si>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</si>
  <si>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</si>
  <si>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</si>
  <si>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*Blank cells in joining date are marked in yellow color by conditional formating tool</t>
  </si>
  <si>
    <t>EMP1005</t>
  </si>
  <si>
    <t>IT</t>
  </si>
  <si>
    <t>India</t>
  </si>
  <si>
    <t>Female</t>
  </si>
  <si>
    <t>user24@example.com</t>
  </si>
  <si>
    <t>EMP1008</t>
  </si>
  <si>
    <t>user25@example.com</t>
  </si>
  <si>
    <t>*Top 5 salary are marked in pink color by conditional formating tool</t>
  </si>
  <si>
    <t>EMP1009</t>
  </si>
  <si>
    <t>Chris Lee</t>
  </si>
  <si>
    <t>UK</t>
  </si>
  <si>
    <t>user153@example.com</t>
  </si>
  <si>
    <t>EMP1010</t>
  </si>
  <si>
    <t>Sam Wilson</t>
  </si>
  <si>
    <t>user18@example.com</t>
  </si>
  <si>
    <t>*Lowest  salary are marked in yellow color by conditional formating tool</t>
  </si>
  <si>
    <t>EMP1011</t>
  </si>
  <si>
    <t>user1@example.com</t>
  </si>
  <si>
    <t>EMP1013</t>
  </si>
  <si>
    <t>nan</t>
  </si>
  <si>
    <t>user180@example.com</t>
  </si>
  <si>
    <t>EMP1016</t>
  </si>
  <si>
    <t>Bob Johnson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</si>
  <si>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</si>
  <si>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</si>
  <si>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</si>
  <si>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</si>
  <si>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</si>
  <si>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</si>
  <si>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</si>
  <si>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</si>
  <si>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EMP1022</t>
  </si>
  <si>
    <t>user128@example.com</t>
  </si>
  <si>
    <t>EMP1023</t>
  </si>
  <si>
    <t>Marketing</t>
  </si>
  <si>
    <t>user149@example.com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</si>
  <si>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</si>
  <si>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</si>
  <si>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</si>
  <si>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</si>
  <si>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</si>
  <si>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</si>
  <si>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</si>
  <si>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</si>
  <si>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</si>
  <si>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</si>
  <si>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EMP1031</t>
  </si>
  <si>
    <t>user143@example.com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</si>
  <si>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</si>
  <si>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</si>
  <si>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</si>
  <si>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</si>
  <si>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</si>
  <si>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</si>
  <si>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</si>
  <si>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</si>
  <si>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</si>
  <si>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</si>
  <si>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</si>
  <si>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</si>
  <si>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</si>
  <si>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</si>
  <si>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</si>
  <si>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</si>
  <si>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</si>
  <si>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</si>
  <si>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EMP1046</t>
  </si>
  <si>
    <t>user199@example.com</t>
  </si>
  <si>
    <t>EMP1047</t>
  </si>
  <si>
    <t>user43@example.com</t>
  </si>
  <si>
    <t>EMP1049</t>
  </si>
  <si>
    <t>user89@example.com</t>
  </si>
  <si>
    <t>EMP1050</t>
  </si>
  <si>
    <t>user95@example.com</t>
  </si>
  <si>
    <t>EMP1051</t>
  </si>
  <si>
    <t>user59@example.com</t>
  </si>
  <si>
    <t>EMP1053</t>
  </si>
  <si>
    <t>user200@example.com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</si>
  <si>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</si>
  <si>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</si>
  <si>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</si>
  <si>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</si>
  <si>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</si>
  <si>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</si>
  <si>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</si>
  <si>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EMP1059</t>
  </si>
  <si>
    <t>user20@example.com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</si>
  <si>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</si>
  <si>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</si>
  <si>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</si>
  <si>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</si>
  <si>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</si>
  <si>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</si>
  <si>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</si>
  <si>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</si>
  <si>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</si>
  <si>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</si>
  <si>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</si>
  <si>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</si>
  <si>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</si>
  <si>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</si>
  <si>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user77@example.com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</si>
  <si>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</si>
  <si>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</si>
  <si>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</si>
  <si>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</si>
  <si>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</si>
  <si>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</si>
  <si>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</si>
  <si>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</si>
  <si>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</si>
  <si>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</si>
  <si>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</si>
  <si>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</si>
  <si>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</si>
  <si>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</si>
  <si>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</si>
  <si>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</si>
  <si>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</si>
  <si>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</si>
  <si>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</si>
  <si>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</si>
  <si>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</si>
  <si>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</si>
  <si>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EMP1086</t>
  </si>
  <si>
    <t>user177@example.com</t>
  </si>
  <si>
    <t>EMP1087</t>
  </si>
  <si>
    <t>EMP1089</t>
  </si>
  <si>
    <t>EMP1091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</si>
  <si>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</si>
  <si>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</si>
  <si>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</si>
  <si>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</si>
  <si>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</si>
  <si>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</si>
  <si>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</si>
  <si>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</si>
  <si>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</si>
  <si>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</si>
  <si>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</si>
  <si>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</si>
  <si>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</si>
  <si>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</si>
  <si>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EMP1101</t>
  </si>
  <si>
    <t>EMP1102</t>
  </si>
  <si>
    <t>user54@example.com</t>
  </si>
  <si>
    <t>EMP1104</t>
  </si>
  <si>
    <t>user40@example.com</t>
  </si>
  <si>
    <t>EMP1107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</si>
  <si>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</si>
  <si>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</si>
  <si>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</si>
  <si>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</si>
  <si>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</si>
  <si>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</si>
  <si>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</si>
  <si>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</si>
  <si>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</si>
  <si>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</si>
  <si>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</si>
  <si>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</si>
  <si>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</si>
  <si>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</si>
  <si>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</si>
  <si>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</si>
  <si>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</si>
  <si>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</si>
  <si>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</si>
  <si>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</si>
  <si>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</si>
  <si>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</si>
  <si>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</si>
  <si>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</si>
  <si>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</si>
  <si>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</si>
  <si>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</si>
  <si>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</si>
  <si>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</si>
  <si>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</si>
  <si>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</si>
  <si>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</si>
  <si>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</si>
  <si>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EMP1136</t>
  </si>
  <si>
    <t>EMP1137</t>
  </si>
  <si>
    <t>user165@example.com</t>
  </si>
  <si>
    <t>EMP1138</t>
  </si>
  <si>
    <t>user3@example.com</t>
  </si>
  <si>
    <t>EMP1141</t>
  </si>
  <si>
    <t>EMP1143</t>
  </si>
  <si>
    <t>user114@example.com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</si>
  <si>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</si>
  <si>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</si>
  <si>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</si>
  <si>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</si>
  <si>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</si>
  <si>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</si>
  <si>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</si>
  <si>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</si>
  <si>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WEEK-1</t>
  </si>
  <si>
    <t>Column1</t>
  </si>
  <si>
    <t>Column2</t>
  </si>
  <si>
    <t>Today</t>
  </si>
  <si>
    <t>Summary</t>
  </si>
  <si>
    <t>Now</t>
  </si>
  <si>
    <t>Performance</t>
  </si>
  <si>
    <t>Task 3</t>
  </si>
  <si>
    <t>Formula</t>
  </si>
  <si>
    <t>Answers</t>
  </si>
  <si>
    <t>SUM()</t>
  </si>
  <si>
    <t>sum(E:E)</t>
  </si>
  <si>
    <t>Mean</t>
  </si>
  <si>
    <t>Average()</t>
  </si>
  <si>
    <t>Average(E:E)</t>
  </si>
  <si>
    <t>Standard Error</t>
  </si>
  <si>
    <t>Min()</t>
  </si>
  <si>
    <t>Min(E:E)</t>
  </si>
  <si>
    <t>Median</t>
  </si>
  <si>
    <t>Max()</t>
  </si>
  <si>
    <t>Max(E:E)</t>
  </si>
  <si>
    <t>Mode</t>
  </si>
  <si>
    <t>Count()</t>
  </si>
  <si>
    <t>Count(G:G)</t>
  </si>
  <si>
    <t>Standard Deviation</t>
  </si>
  <si>
    <t>Sample Variance</t>
  </si>
  <si>
    <t>Kurtosis</t>
  </si>
  <si>
    <t>Task4</t>
  </si>
  <si>
    <t>Skewness</t>
  </si>
  <si>
    <t>if()</t>
  </si>
  <si>
    <t>if(E3&gt;40000,"High salary")</t>
  </si>
  <si>
    <t>High salary</t>
  </si>
  <si>
    <t>Range</t>
  </si>
  <si>
    <t>sumif()</t>
  </si>
  <si>
    <t>sumif(C:C,"Marketing",E:E)</t>
  </si>
  <si>
    <t>Minimum</t>
  </si>
  <si>
    <t>averageif()</t>
  </si>
  <si>
    <t>averageif(C:C,"Sales",E:E)</t>
  </si>
  <si>
    <t>Maximum</t>
  </si>
  <si>
    <t>countif()</t>
  </si>
  <si>
    <t>countif(H:H,"Other")</t>
  </si>
  <si>
    <t>Sum</t>
  </si>
  <si>
    <t>Count</t>
  </si>
  <si>
    <t>Largest(1)</t>
  </si>
  <si>
    <t>Task5</t>
  </si>
  <si>
    <t>Smallest(1)</t>
  </si>
  <si>
    <t>Left()</t>
  </si>
  <si>
    <t>Left(B8,3)</t>
  </si>
  <si>
    <t>Chr</t>
  </si>
  <si>
    <t>Confidence Level(95%)</t>
  </si>
  <si>
    <t>Right()</t>
  </si>
  <si>
    <t>Right(A17,4)</t>
  </si>
  <si>
    <t>1124</t>
  </si>
  <si>
    <t>Mid()</t>
  </si>
  <si>
    <t>Mid(A13,1,5)</t>
  </si>
  <si>
    <t>EMP11</t>
  </si>
  <si>
    <t>Upper()</t>
  </si>
  <si>
    <t>Upper(D18)</t>
  </si>
  <si>
    <t>GERMANY</t>
  </si>
  <si>
    <t>Lower()</t>
  </si>
  <si>
    <t>Lower(H16)</t>
  </si>
  <si>
    <t>male</t>
  </si>
  <si>
    <t>Proper()</t>
  </si>
  <si>
    <t>Proper(B18)</t>
  </si>
  <si>
    <t>Average of Salary</t>
  </si>
  <si>
    <t>*IT department has the highest Avg of salary</t>
  </si>
  <si>
    <t>Grand Total</t>
  </si>
  <si>
    <t>Sum of Salary</t>
  </si>
  <si>
    <t>(blank)</t>
  </si>
  <si>
    <t>*India gives the highest total salary for the employee each country</t>
  </si>
  <si>
    <t>Count of Gender</t>
  </si>
  <si>
    <t>*Female employees are more than male</t>
  </si>
  <si>
    <t>*Australia has the lowest employee</t>
  </si>
  <si>
    <t>Average of Performance Rating</t>
  </si>
  <si>
    <t>*Chris lee has highest performance Avg</t>
  </si>
  <si>
    <t>*Jane Smith has the lowest performance average</t>
  </si>
  <si>
    <t>Count of Name</t>
  </si>
  <si>
    <t>*India has more employee</t>
  </si>
  <si>
    <t>Max of Salary</t>
  </si>
  <si>
    <t>*Sam Wilson has the highest salary</t>
  </si>
  <si>
    <t>Employee detail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</si>
</sst>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rgb="FF000000"/>
      <name val="Aptos Display"/>
    </font>
  </fonts>
  <fills count="7">
    <fill>
      <patternFill patternType="none"/>
    </fill>
    <fill>
      <patternFill patternType="gray125"/>
    </fill>
    <fill>
      <patternFill patternType="solid">
        <fgColor rgb="FFE8D46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22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2" fillId="4" borderId="0" xfId="0" applyFont="1" applyFill="1" applyAlignment="1">
      <alignment wrapText="1"/>
    </xf>
    <xf numFmtId="0" fontId="0" fillId="5" borderId="0" xfId="0" applyFill="1"/>
    <xf numFmtId="0" fontId="0" fillId="3" borderId="0" xfId="0" applyFill="1" applyAlignment="1">
      <alignment wrapText="1"/>
    </xf>
    <xf numFmtId="0" fontId="0" fillId="3" borderId="0" xfId="0" applyFill="1" applyAlignme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6" borderId="0" xfId="0" applyFill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 indent="16"/>
    </xf>
    <xf numFmtId="0" fontId="0" fillId="6" borderId="0" xfId="0" applyFill="1" applyAlignment="1">
      <alignment horizontal="left" indent="17"/>
    </xf>
    <xf numFmtId="0" fontId="0" fillId="6" borderId="0" xfId="0" applyFill="1" applyAlignment="1">
      <alignment horizontal="left" indent="16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-14009]dd/mm/yyyy;@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-14009]dd/mm/yyyy;@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8D46F"/>
      <color rgb="FFE8BEBE"/>
      <color rgb="FFE0C8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Cleaned_Employee_Details.xlsx]Avg salary of Dept!PivotTable1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'Salary' by 'Department'</a:t>
            </a:r>
          </a:p>
        </c:rich>
      </c:tx>
      <c:overlay val="0"/>
      <c:spPr>
        <a:solidFill>
          <a:srgbClr val="C5D9F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salary of Dept'!$B$2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salary of Dept'!$A$3:$A$9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nan</c:v>
                </c:pt>
                <c:pt idx="5">
                  <c:v>Sales</c:v>
                </c:pt>
              </c:strCache>
            </c:strRef>
          </c:cat>
          <c:val>
            <c:numRef>
              <c:f>'Avg salary of Dept'!$B$3:$B$9</c:f>
              <c:numCache>
                <c:formatCode>"₹"\ #,##0.00</c:formatCode>
                <c:ptCount val="6"/>
                <c:pt idx="0">
                  <c:v>64862.5</c:v>
                </c:pt>
                <c:pt idx="1">
                  <c:v>64206.9375</c:v>
                </c:pt>
                <c:pt idx="2">
                  <c:v>66489.882352941175</c:v>
                </c:pt>
                <c:pt idx="3">
                  <c:v>62382.388888888891</c:v>
                </c:pt>
                <c:pt idx="4">
                  <c:v>65373.782608695656</c:v>
                </c:pt>
                <c:pt idx="5">
                  <c:v>65361.181818181816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41-4F74-8626-049E0BE23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38463495"/>
        <c:axId val="638465543"/>
      </c:barChart>
      <c:catAx>
        <c:axId val="638463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65543"/>
        <c:crosses val="autoZero"/>
        <c:auto val="1"/>
        <c:lblAlgn val="ctr"/>
        <c:lblOffset val="100"/>
        <c:noMultiLvlLbl val="0"/>
      </c:catAx>
      <c:valAx>
        <c:axId val="638465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6349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Cleaned_Employee_Details.xlsx]Salary of country vs Dept!PivotTable2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'Salary' by 'Country' and 'Department'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of country vs Dept'!$B$2:$B$3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Dept'!$B$4:$B$10</c:f>
              <c:numCache>
                <c:formatCode>"₹"\ #,##0.00</c:formatCode>
                <c:ptCount val="6"/>
                <c:pt idx="0">
                  <c:v>137442</c:v>
                </c:pt>
                <c:pt idx="1">
                  <c:v>63184</c:v>
                </c:pt>
                <c:pt idx="2">
                  <c:v>287562</c:v>
                </c:pt>
                <c:pt idx="3">
                  <c:v>212668</c:v>
                </c:pt>
                <c:pt idx="4">
                  <c:v>246925</c:v>
                </c:pt>
                <c:pt idx="5">
                  <c:v>90019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0A-4C41-ABED-85D9D09F35D6}"/>
            </c:ext>
          </c:extLst>
        </c:ser>
        <c:ser>
          <c:idx val="1"/>
          <c:order val="1"/>
          <c:tx>
            <c:strRef>
              <c:f>'Salary of country vs Dept'!$C$2:$C$3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Dept'!$C$4:$C$10</c:f>
              <c:numCache>
                <c:formatCode>"₹"\ #,##0.00</c:formatCode>
                <c:ptCount val="6"/>
                <c:pt idx="0">
                  <c:v>69420</c:v>
                </c:pt>
                <c:pt idx="1">
                  <c:v>635075</c:v>
                </c:pt>
                <c:pt idx="2">
                  <c:v>58245</c:v>
                </c:pt>
                <c:pt idx="3">
                  <c:v>189352</c:v>
                </c:pt>
                <c:pt idx="4">
                  <c:v>75219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0A-4C41-ABED-85D9D09F35D6}"/>
            </c:ext>
          </c:extLst>
        </c:ser>
        <c:ser>
          <c:idx val="2"/>
          <c:order val="2"/>
          <c:tx>
            <c:strRef>
              <c:f>'Salary of country vs Dept'!$D$2:$D$3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Dept'!$D$4:$D$10</c:f>
              <c:numCache>
                <c:formatCode>"₹"\ #,##0.00</c:formatCode>
                <c:ptCount val="6"/>
                <c:pt idx="0">
                  <c:v>70470</c:v>
                </c:pt>
                <c:pt idx="1">
                  <c:v>291041</c:v>
                </c:pt>
                <c:pt idx="2">
                  <c:v>324206</c:v>
                </c:pt>
                <c:pt idx="3">
                  <c:v>181691</c:v>
                </c:pt>
                <c:pt idx="4">
                  <c:v>262920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6-4FA7-9186-8351201133B4}"/>
            </c:ext>
          </c:extLst>
        </c:ser>
        <c:ser>
          <c:idx val="3"/>
          <c:order val="3"/>
          <c:tx>
            <c:strRef>
              <c:f>'Salary of country vs Dept'!$E$2:$E$3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Dept'!$E$4:$E$10</c:f>
              <c:numCache>
                <c:formatCode>"₹"\ #,##0.00</c:formatCode>
                <c:ptCount val="6"/>
                <c:pt idx="0">
                  <c:v>245325</c:v>
                </c:pt>
                <c:pt idx="1">
                  <c:v>34402</c:v>
                </c:pt>
                <c:pt idx="2">
                  <c:v>262145</c:v>
                </c:pt>
                <c:pt idx="3">
                  <c:v>301827</c:v>
                </c:pt>
                <c:pt idx="4">
                  <c:v>279184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6-4FA7-9186-8351201133B4}"/>
            </c:ext>
          </c:extLst>
        </c:ser>
        <c:ser>
          <c:idx val="4"/>
          <c:order val="4"/>
          <c:tx>
            <c:strRef>
              <c:f>'Salary of country vs Dept'!$F$2:$F$3</c:f>
              <c:strCache>
                <c:ptCount val="1"/>
                <c:pt idx="0">
                  <c:v>nan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Dept'!$F$4:$F$10</c:f>
              <c:numCache>
                <c:formatCode>"₹"\ #,##0.00</c:formatCode>
                <c:ptCount val="6"/>
                <c:pt idx="0">
                  <c:v>293163</c:v>
                </c:pt>
                <c:pt idx="1">
                  <c:v>233365</c:v>
                </c:pt>
                <c:pt idx="2">
                  <c:v>315488</c:v>
                </c:pt>
                <c:pt idx="3">
                  <c:v>332203</c:v>
                </c:pt>
                <c:pt idx="4">
                  <c:v>246420</c:v>
                </c:pt>
                <c:pt idx="5">
                  <c:v>82958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B6-4FA7-9186-8351201133B4}"/>
            </c:ext>
          </c:extLst>
        </c:ser>
        <c:ser>
          <c:idx val="5"/>
          <c:order val="5"/>
          <c:tx>
            <c:strRef>
              <c:f>'Salary of country vs Dept'!$G$2:$G$3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Dept'!$G$4:$G$10</c:f>
              <c:numCache>
                <c:formatCode>"₹"\ #,##0.00</c:formatCode>
                <c:ptCount val="6"/>
                <c:pt idx="0">
                  <c:v>354767</c:v>
                </c:pt>
                <c:pt idx="1">
                  <c:v>192674</c:v>
                </c:pt>
                <c:pt idx="2">
                  <c:v>466701</c:v>
                </c:pt>
                <c:pt idx="3">
                  <c:v>91620</c:v>
                </c:pt>
                <c:pt idx="4">
                  <c:v>332184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B6-4FA7-9186-83512011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30"/>
        <c:axId val="658760711"/>
        <c:axId val="1605363719"/>
      </c:barChart>
      <c:catAx>
        <c:axId val="658760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63719"/>
        <c:crosses val="autoZero"/>
        <c:auto val="1"/>
        <c:lblAlgn val="ctr"/>
        <c:lblOffset val="100"/>
        <c:noMultiLvlLbl val="0"/>
      </c:catAx>
      <c:valAx>
        <c:axId val="1605363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6071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Cleaned_Employee_Details.xlsx]Count of Gender in Country!PivotTable3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'Gender' by 'Country' and 'Gender'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Gender in Country'!$B$2:$B$3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Country'!$B$4:$B$10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A6-4482-AF60-799DBD7DE413}"/>
            </c:ext>
          </c:extLst>
        </c:ser>
        <c:ser>
          <c:idx val="1"/>
          <c:order val="1"/>
          <c:tx>
            <c:strRef>
              <c:f>'Count of Gender in Country'!$C$2:$C$3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Country'!$C$4:$C$10</c:f>
              <c:numCache>
                <c:formatCode>General</c:formatCode>
                <c:ptCount val="6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A6-4482-AF60-799DBD7DE413}"/>
            </c:ext>
          </c:extLst>
        </c:ser>
        <c:ser>
          <c:idx val="2"/>
          <c:order val="2"/>
          <c:tx>
            <c:strRef>
              <c:f>'Count of Gender in Country'!$D$2:$D$3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Country'!$D$4:$D$10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D-4F4A-915D-4C7D9E8BE23D}"/>
            </c:ext>
          </c:extLst>
        </c:ser>
        <c:ser>
          <c:idx val="3"/>
          <c:order val="3"/>
          <c:tx>
            <c:strRef>
              <c:f>'Count of Gender in Country'!$E$2:$E$3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Country'!$E$4:$E$10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D-4F4A-915D-4C7D9E8BE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639358471"/>
        <c:axId val="640009223"/>
      </c:barChart>
      <c:catAx>
        <c:axId val="639358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09223"/>
        <c:crosses val="autoZero"/>
        <c:auto val="1"/>
        <c:lblAlgn val="ctr"/>
        <c:lblOffset val="100"/>
        <c:noMultiLvlLbl val="0"/>
      </c:catAx>
      <c:valAx>
        <c:axId val="640009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5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Cleaned_Employee_Details.xlsx]Total sum &amp; Avg of employee!PivotTable6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sum &amp; Avg of employee'!$B$2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'Total sum &amp; Avg of employee'!$A$3:$A$9</c:f>
              <c:strCache>
                <c:ptCount val="6"/>
                <c:pt idx="0">
                  <c:v>Sam Wilson</c:v>
                </c:pt>
                <c:pt idx="1">
                  <c:v>Eve Adams</c:v>
                </c:pt>
                <c:pt idx="2">
                  <c:v>Bob Johnson</c:v>
                </c:pt>
                <c:pt idx="3">
                  <c:v>Chris Lee</c:v>
                </c:pt>
                <c:pt idx="4">
                  <c:v>John Doe</c:v>
                </c:pt>
                <c:pt idx="5">
                  <c:v>Jane Smith</c:v>
                </c:pt>
              </c:strCache>
            </c:strRef>
          </c:cat>
          <c:val>
            <c:numRef>
              <c:f>'Total sum &amp; Avg of employee'!$B$3:$B$9</c:f>
              <c:numCache>
                <c:formatCode>"₹"\ #,##0.00</c:formatCode>
                <c:ptCount val="6"/>
                <c:pt idx="0">
                  <c:v>264705</c:v>
                </c:pt>
                <c:pt idx="1">
                  <c:v>254536</c:v>
                </c:pt>
                <c:pt idx="2">
                  <c:v>207429</c:v>
                </c:pt>
                <c:pt idx="3">
                  <c:v>207102</c:v>
                </c:pt>
                <c:pt idx="4">
                  <c:v>142112</c:v>
                </c:pt>
                <c:pt idx="5">
                  <c:v>97239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1-461A-95A7-4223BEBB4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386887"/>
        <c:axId val="715389447"/>
      </c:barChart>
      <c:lineChart>
        <c:grouping val="standard"/>
        <c:varyColors val="0"/>
        <c:ser>
          <c:idx val="1"/>
          <c:order val="1"/>
          <c:tx>
            <c:strRef>
              <c:f>'Total sum &amp; Avg of employee'!$C$2</c:f>
              <c:strCache>
                <c:ptCount val="1"/>
                <c:pt idx="0">
                  <c:v>Average of Performance Rating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'Total sum &amp; Avg of employee'!$A$3:$A$9</c:f>
              <c:strCache>
                <c:ptCount val="6"/>
                <c:pt idx="0">
                  <c:v>Sam Wilson</c:v>
                </c:pt>
                <c:pt idx="1">
                  <c:v>Eve Adams</c:v>
                </c:pt>
                <c:pt idx="2">
                  <c:v>Bob Johnson</c:v>
                </c:pt>
                <c:pt idx="3">
                  <c:v>Chris Lee</c:v>
                </c:pt>
                <c:pt idx="4">
                  <c:v>John Doe</c:v>
                </c:pt>
                <c:pt idx="5">
                  <c:v>Jane Smith</c:v>
                </c:pt>
              </c:strCache>
            </c:strRef>
          </c:cat>
          <c:val>
            <c:numRef>
              <c:f>'Total sum &amp; Avg of employee'!$C$3:$C$9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1-461A-95A7-4223BEBB4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984711"/>
        <c:axId val="715512327"/>
      </c:lineChart>
      <c:catAx>
        <c:axId val="71538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9447"/>
        <c:crosses val="autoZero"/>
        <c:auto val="1"/>
        <c:lblAlgn val="ctr"/>
        <c:lblOffset val="100"/>
        <c:noMultiLvlLbl val="0"/>
      </c:catAx>
      <c:valAx>
        <c:axId val="71538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6887"/>
        <c:crosses val="autoZero"/>
        <c:crossBetween val="between"/>
      </c:valAx>
      <c:valAx>
        <c:axId val="7155123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84711"/>
        <c:crosses val="max"/>
        <c:crossBetween val="between"/>
      </c:valAx>
      <c:catAx>
        <c:axId val="1974984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5512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Cleaned_Employee_Details.xlsx]Country vs Name!PivotTable4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'Country vs Name'!$B$2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5C-4FFE-A3AB-1D93D2AB315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5C-4FFE-A3AB-1D93D2AB315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5C-4FFE-A3AB-1D93D2AB315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5C-4FFE-A3AB-1D93D2AB315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5C-4FFE-A3AB-1D93D2AB315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5C-4FFE-A3AB-1D93D2AB31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'Country vs Name'!$A$3:$A$9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'Country vs Name'!$B$3:$B$9</c:f>
              <c:numCache>
                <c:formatCode>General</c:formatCode>
                <c:ptCount val="6"/>
                <c:pt idx="0">
                  <c:v>19</c:v>
                </c:pt>
                <c:pt idx="1">
                  <c:v>22</c:v>
                </c:pt>
                <c:pt idx="2">
                  <c:v>26</c:v>
                </c:pt>
                <c:pt idx="3">
                  <c:v>21</c:v>
                </c:pt>
                <c:pt idx="4">
                  <c:v>21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B-449E-8310-5F526B933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Cleaned_Employee_Details.xlsx]Max salary!PivotTable5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'Max salary'!$B$2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salary'!$A$3:$A$10</c:f>
              <c:strCache>
                <c:ptCount val="7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</c:strCache>
            </c:strRef>
          </c:cat>
          <c:val>
            <c:numRef>
              <c:f>'Max salary'!$B$3:$B$10</c:f>
              <c:numCache>
                <c:formatCode>"₹"\ #,##0.00</c:formatCode>
                <c:ptCount val="7"/>
                <c:pt idx="0">
                  <c:v>97881</c:v>
                </c:pt>
                <c:pt idx="1">
                  <c:v>92959</c:v>
                </c:pt>
                <c:pt idx="2">
                  <c:v>97981</c:v>
                </c:pt>
                <c:pt idx="3">
                  <c:v>96949</c:v>
                </c:pt>
                <c:pt idx="4">
                  <c:v>95621</c:v>
                </c:pt>
                <c:pt idx="5">
                  <c:v>94406</c:v>
                </c:pt>
                <c:pt idx="6">
                  <c:v>99621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56-48DF-B44E-42D872CC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510791"/>
        <c:axId val="752192519"/>
      </c:barChart>
      <c:catAx>
        <c:axId val="715510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92519"/>
        <c:crosses val="autoZero"/>
        <c:auto val="1"/>
        <c:lblAlgn val="ctr"/>
        <c:lblOffset val="100"/>
        <c:noMultiLvlLbl val="0"/>
      </c:catAx>
      <c:valAx>
        <c:axId val="752192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1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Cleaned_Employee_Details.xlsx]Avg salary of Dept!PivotTable1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'Salary' by 'Department'</a:t>
            </a:r>
          </a:p>
        </c:rich>
      </c:tx>
      <c:overlay val="0"/>
      <c:spPr>
        <a:solidFill>
          <a:srgbClr val="C5D9F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salary of Dept'!$B$2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salary of Dept'!$A$3:$A$9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nan</c:v>
                </c:pt>
                <c:pt idx="5">
                  <c:v>Sales</c:v>
                </c:pt>
              </c:strCache>
            </c:strRef>
          </c:cat>
          <c:val>
            <c:numRef>
              <c:f>'Avg salary of Dept'!$B$3:$B$9</c:f>
              <c:numCache>
                <c:formatCode>"₹"\ #,##0.00</c:formatCode>
                <c:ptCount val="6"/>
                <c:pt idx="0">
                  <c:v>64862.5</c:v>
                </c:pt>
                <c:pt idx="1">
                  <c:v>64206.9375</c:v>
                </c:pt>
                <c:pt idx="2">
                  <c:v>66489.882352941175</c:v>
                </c:pt>
                <c:pt idx="3">
                  <c:v>62382.388888888891</c:v>
                </c:pt>
                <c:pt idx="4">
                  <c:v>65373.782608695656</c:v>
                </c:pt>
                <c:pt idx="5">
                  <c:v>65361.181818181816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2-4D21-A543-3100D5B3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38463495"/>
        <c:axId val="638465543"/>
      </c:barChart>
      <c:catAx>
        <c:axId val="638463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65543"/>
        <c:crosses val="autoZero"/>
        <c:auto val="1"/>
        <c:lblAlgn val="ctr"/>
        <c:lblOffset val="100"/>
        <c:noMultiLvlLbl val="0"/>
      </c:catAx>
      <c:valAx>
        <c:axId val="638465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6349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Cleaned_Employee_Details.xlsx]Salary of country vs Dept!PivotTable2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'Salary' by 'Country' and 'Department'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of country vs Dept'!$B$2:$B$3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Dept'!$B$4:$B$10</c:f>
              <c:numCache>
                <c:formatCode>"₹"\ #,##0.00</c:formatCode>
                <c:ptCount val="6"/>
                <c:pt idx="0">
                  <c:v>137442</c:v>
                </c:pt>
                <c:pt idx="1">
                  <c:v>63184</c:v>
                </c:pt>
                <c:pt idx="2">
                  <c:v>287562</c:v>
                </c:pt>
                <c:pt idx="3">
                  <c:v>212668</c:v>
                </c:pt>
                <c:pt idx="4">
                  <c:v>246925</c:v>
                </c:pt>
                <c:pt idx="5">
                  <c:v>90019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8-489C-832B-77BB84A8D3BB}"/>
            </c:ext>
          </c:extLst>
        </c:ser>
        <c:ser>
          <c:idx val="1"/>
          <c:order val="1"/>
          <c:tx>
            <c:strRef>
              <c:f>'Salary of country vs Dept'!$C$2:$C$3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Dept'!$C$4:$C$10</c:f>
              <c:numCache>
                <c:formatCode>"₹"\ #,##0.00</c:formatCode>
                <c:ptCount val="6"/>
                <c:pt idx="0">
                  <c:v>69420</c:v>
                </c:pt>
                <c:pt idx="1">
                  <c:v>635075</c:v>
                </c:pt>
                <c:pt idx="2">
                  <c:v>58245</c:v>
                </c:pt>
                <c:pt idx="3">
                  <c:v>189352</c:v>
                </c:pt>
                <c:pt idx="4">
                  <c:v>75219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8-489C-832B-77BB84A8D3BB}"/>
            </c:ext>
          </c:extLst>
        </c:ser>
        <c:ser>
          <c:idx val="2"/>
          <c:order val="2"/>
          <c:tx>
            <c:strRef>
              <c:f>'Salary of country vs Dept'!$D$2:$D$3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Dept'!$D$4:$D$10</c:f>
              <c:numCache>
                <c:formatCode>"₹"\ #,##0.00</c:formatCode>
                <c:ptCount val="6"/>
                <c:pt idx="0">
                  <c:v>70470</c:v>
                </c:pt>
                <c:pt idx="1">
                  <c:v>291041</c:v>
                </c:pt>
                <c:pt idx="2">
                  <c:v>324206</c:v>
                </c:pt>
                <c:pt idx="3">
                  <c:v>181691</c:v>
                </c:pt>
                <c:pt idx="4">
                  <c:v>262920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5-48EB-A633-C662F1E08BE1}"/>
            </c:ext>
          </c:extLst>
        </c:ser>
        <c:ser>
          <c:idx val="3"/>
          <c:order val="3"/>
          <c:tx>
            <c:strRef>
              <c:f>'Salary of country vs Dept'!$E$2:$E$3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Dept'!$E$4:$E$10</c:f>
              <c:numCache>
                <c:formatCode>"₹"\ #,##0.00</c:formatCode>
                <c:ptCount val="6"/>
                <c:pt idx="0">
                  <c:v>245325</c:v>
                </c:pt>
                <c:pt idx="1">
                  <c:v>34402</c:v>
                </c:pt>
                <c:pt idx="2">
                  <c:v>262145</c:v>
                </c:pt>
                <c:pt idx="3">
                  <c:v>301827</c:v>
                </c:pt>
                <c:pt idx="4">
                  <c:v>279184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5-48EB-A633-C662F1E08BE1}"/>
            </c:ext>
          </c:extLst>
        </c:ser>
        <c:ser>
          <c:idx val="4"/>
          <c:order val="4"/>
          <c:tx>
            <c:strRef>
              <c:f>'Salary of country vs Dept'!$F$2:$F$3</c:f>
              <c:strCache>
                <c:ptCount val="1"/>
                <c:pt idx="0">
                  <c:v>nan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Dept'!$F$4:$F$10</c:f>
              <c:numCache>
                <c:formatCode>"₹"\ #,##0.00</c:formatCode>
                <c:ptCount val="6"/>
                <c:pt idx="0">
                  <c:v>293163</c:v>
                </c:pt>
                <c:pt idx="1">
                  <c:v>233365</c:v>
                </c:pt>
                <c:pt idx="2">
                  <c:v>315488</c:v>
                </c:pt>
                <c:pt idx="3">
                  <c:v>332203</c:v>
                </c:pt>
                <c:pt idx="4">
                  <c:v>246420</c:v>
                </c:pt>
                <c:pt idx="5">
                  <c:v>82958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C5-48EB-A633-C662F1E08BE1}"/>
            </c:ext>
          </c:extLst>
        </c:ser>
        <c:ser>
          <c:idx val="5"/>
          <c:order val="5"/>
          <c:tx>
            <c:strRef>
              <c:f>'Salary of country vs Dept'!$G$2:$G$3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'Salary of country vs Dept'!$A$4:$A$10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'Salary of country vs Dept'!$G$4:$G$10</c:f>
              <c:numCache>
                <c:formatCode>"₹"\ #,##0.00</c:formatCode>
                <c:ptCount val="6"/>
                <c:pt idx="0">
                  <c:v>354767</c:v>
                </c:pt>
                <c:pt idx="1">
                  <c:v>192674</c:v>
                </c:pt>
                <c:pt idx="2">
                  <c:v>466701</c:v>
                </c:pt>
                <c:pt idx="3">
                  <c:v>91620</c:v>
                </c:pt>
                <c:pt idx="4">
                  <c:v>332184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C5-48EB-A633-C662F1E08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30"/>
        <c:axId val="658760711"/>
        <c:axId val="1605363719"/>
      </c:barChart>
      <c:catAx>
        <c:axId val="658760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63719"/>
        <c:crosses val="autoZero"/>
        <c:auto val="1"/>
        <c:lblAlgn val="ctr"/>
        <c:lblOffset val="100"/>
        <c:noMultiLvlLbl val="0"/>
      </c:catAx>
      <c:valAx>
        <c:axId val="1605363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76071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Cleaned_Employee_Details.xlsx]Count of Gender in Country!PivotTable3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'Gender' by 'Country' and 'Gender'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Gender in Country'!$B$2:$B$3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Country'!$B$4:$B$10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F-4E6A-B43F-EA5A176401A3}"/>
            </c:ext>
          </c:extLst>
        </c:ser>
        <c:ser>
          <c:idx val="1"/>
          <c:order val="1"/>
          <c:tx>
            <c:strRef>
              <c:f>'Count of Gender in Country'!$C$2:$C$3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Country'!$C$4:$C$10</c:f>
              <c:numCache>
                <c:formatCode>General</c:formatCode>
                <c:ptCount val="6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F-4E6A-B43F-EA5A176401A3}"/>
            </c:ext>
          </c:extLst>
        </c:ser>
        <c:ser>
          <c:idx val="2"/>
          <c:order val="2"/>
          <c:tx>
            <c:strRef>
              <c:f>'Count of Gender in Country'!$D$2:$D$3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Country'!$D$4:$D$10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3-4413-9977-621492DBF1FA}"/>
            </c:ext>
          </c:extLst>
        </c:ser>
        <c:ser>
          <c:idx val="3"/>
          <c:order val="3"/>
          <c:tx>
            <c:strRef>
              <c:f>'Count of Gender in Country'!$E$2:$E$3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'Count of Gender in Country'!$A$4:$A$10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 of Gender in Country'!$E$4:$E$10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3-4413-9977-621492DBF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639358471"/>
        <c:axId val="640009223"/>
      </c:barChart>
      <c:catAx>
        <c:axId val="639358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09223"/>
        <c:crosses val="autoZero"/>
        <c:auto val="1"/>
        <c:lblAlgn val="ctr"/>
        <c:lblOffset val="100"/>
        <c:noMultiLvlLbl val="0"/>
      </c:catAx>
      <c:valAx>
        <c:axId val="640009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5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Cleaned_Employee_Details.xlsx]Total sum &amp; Avg of employee!PivotTable6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% Avg of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sum &amp; Avg of employee'!$B$2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'Total sum &amp; Avg of employee'!$A$3:$A$9</c:f>
              <c:strCache>
                <c:ptCount val="6"/>
                <c:pt idx="0">
                  <c:v>Sam Wilson</c:v>
                </c:pt>
                <c:pt idx="1">
                  <c:v>Eve Adams</c:v>
                </c:pt>
                <c:pt idx="2">
                  <c:v>Bob Johnson</c:v>
                </c:pt>
                <c:pt idx="3">
                  <c:v>Chris Lee</c:v>
                </c:pt>
                <c:pt idx="4">
                  <c:v>John Doe</c:v>
                </c:pt>
                <c:pt idx="5">
                  <c:v>Jane Smith</c:v>
                </c:pt>
              </c:strCache>
            </c:strRef>
          </c:cat>
          <c:val>
            <c:numRef>
              <c:f>'Total sum &amp; Avg of employee'!$B$3:$B$9</c:f>
              <c:numCache>
                <c:formatCode>"₹"\ #,##0.00</c:formatCode>
                <c:ptCount val="6"/>
                <c:pt idx="0">
                  <c:v>264705</c:v>
                </c:pt>
                <c:pt idx="1">
                  <c:v>254536</c:v>
                </c:pt>
                <c:pt idx="2">
                  <c:v>207429</c:v>
                </c:pt>
                <c:pt idx="3">
                  <c:v>207102</c:v>
                </c:pt>
                <c:pt idx="4">
                  <c:v>142112</c:v>
                </c:pt>
                <c:pt idx="5">
                  <c:v>97239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C-4DAC-AC12-D6C8F9DA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386887"/>
        <c:axId val="715389447"/>
      </c:barChart>
      <c:lineChart>
        <c:grouping val="standard"/>
        <c:varyColors val="0"/>
        <c:ser>
          <c:idx val="1"/>
          <c:order val="1"/>
          <c:tx>
            <c:strRef>
              <c:f>'Total sum &amp; Avg of employee'!$C$2</c:f>
              <c:strCache>
                <c:ptCount val="1"/>
                <c:pt idx="0">
                  <c:v>Average of Performance Rating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'Total sum &amp; Avg of employee'!$A$3:$A$9</c:f>
              <c:strCache>
                <c:ptCount val="6"/>
                <c:pt idx="0">
                  <c:v>Sam Wilson</c:v>
                </c:pt>
                <c:pt idx="1">
                  <c:v>Eve Adams</c:v>
                </c:pt>
                <c:pt idx="2">
                  <c:v>Bob Johnson</c:v>
                </c:pt>
                <c:pt idx="3">
                  <c:v>Chris Lee</c:v>
                </c:pt>
                <c:pt idx="4">
                  <c:v>John Doe</c:v>
                </c:pt>
                <c:pt idx="5">
                  <c:v>Jane Smith</c:v>
                </c:pt>
              </c:strCache>
            </c:strRef>
          </c:cat>
          <c:val>
            <c:numRef>
              <c:f>'Total sum &amp; Avg of employee'!$C$3:$C$9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C-4DAC-AC12-D6C8F9DA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984711"/>
        <c:axId val="715512327"/>
      </c:lineChart>
      <c:catAx>
        <c:axId val="71538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9447"/>
        <c:crosses val="autoZero"/>
        <c:auto val="1"/>
        <c:lblAlgn val="ctr"/>
        <c:lblOffset val="100"/>
        <c:noMultiLvlLbl val="0"/>
      </c:catAx>
      <c:valAx>
        <c:axId val="71538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6887"/>
        <c:crosses val="autoZero"/>
        <c:crossBetween val="between"/>
      </c:valAx>
      <c:valAx>
        <c:axId val="71551232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84711"/>
        <c:crosses val="max"/>
        <c:crossBetween val="between"/>
      </c:valAx>
      <c:catAx>
        <c:axId val="1974984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5512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Cleaned_Employee_Details.xlsx]Country vs Name!PivotTable4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'Country vs Name'!$B$2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75-42C3-8325-43D09C430C2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75-42C3-8325-43D09C430C2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75-42C3-8325-43D09C430C2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75-42C3-8325-43D09C430C2C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75-42C3-8325-43D09C430C2C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75-42C3-8325-43D09C430C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'Country vs Name'!$A$3:$A$9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  <c:pt idx="5">
                  <c:v>(blank)</c:v>
                </c:pt>
              </c:strCache>
            </c:strRef>
          </c:cat>
          <c:val>
            <c:numRef>
              <c:f>'Country vs Name'!$B$3:$B$9</c:f>
              <c:numCache>
                <c:formatCode>General</c:formatCode>
                <c:ptCount val="6"/>
                <c:pt idx="0">
                  <c:v>19</c:v>
                </c:pt>
                <c:pt idx="1">
                  <c:v>22</c:v>
                </c:pt>
                <c:pt idx="2">
                  <c:v>26</c:v>
                </c:pt>
                <c:pt idx="3">
                  <c:v>21</c:v>
                </c:pt>
                <c:pt idx="4">
                  <c:v>21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75-42C3-8325-43D09C430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[karthik Cleaned_Employee_Details.xlsx]Max salary!PivotTable5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'Max salary'!$B$2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'Max salary'!$A$3:$A$10</c:f>
              <c:strCache>
                <c:ptCount val="7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</c:strCache>
            </c:strRef>
          </c:cat>
          <c:val>
            <c:numRef>
              <c:f>'Max salary'!$B$3:$B$10</c:f>
              <c:numCache>
                <c:formatCode>"₹"\ #,##0.00</c:formatCode>
                <c:ptCount val="7"/>
                <c:pt idx="0">
                  <c:v>97881</c:v>
                </c:pt>
                <c:pt idx="1">
                  <c:v>92959</c:v>
                </c:pt>
                <c:pt idx="2">
                  <c:v>97981</c:v>
                </c:pt>
                <c:pt idx="3">
                  <c:v>96949</c:v>
                </c:pt>
                <c:pt idx="4">
                  <c:v>95621</c:v>
                </c:pt>
                <c:pt idx="5">
                  <c:v>94406</c:v>
                </c:pt>
                <c:pt idx="6">
                  <c:v>99621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D-4F7B-8C1B-25187EE70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510791"/>
        <c:axId val="752192519"/>
      </c:barChart>
      <c:catAx>
        <c:axId val="715510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92519"/>
        <c:crosses val="autoZero"/>
        <c:auto val="1"/>
        <c:lblAlgn val="ctr"/>
        <c:lblOffset val="100"/>
        <c:noMultiLvlLbl val="0"/>
      </c:catAx>
      <c:valAx>
        <c:axId val="752192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1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790575</xdr:colOff>
      <xdr:row>0</xdr:row>
      <xdr:rowOff>180975</xdr:rowOff>
    </xdr:from>
    <xdr:to>
      <xdr:col>7</xdr:col>
      <xdr:colOff>742950</xdr:colOff>
      <xdr:row>15</xdr:row>
      <xdr:rowOff>66675</xdr:rowOff>
    </xdr:to>
    <xdr:graphicFrame macro="">
      <xdr:nvGraphicFramePr>
        <xdr:cNvPr id="2" name="Chart 1" descr="Chart type: Clustered Column. 'Salary' by 'Department'&#10;&#10;Description automatically generated">
          <a:extLst>
            <a:ext uri="{FF2B5EF4-FFF2-40B4-BE49-F238E27FC236}">
              <a16:creationId xmlns:a16="http://schemas.microsoft.com/office/drawing/2014/main" id="{65EA5971-A96B-5D62-2E9C-EDD463F25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695325</xdr:colOff>
      <xdr:row>10</xdr:row>
      <xdr:rowOff>47625</xdr:rowOff>
    </xdr:from>
    <xdr:to>
      <xdr:col>2</xdr:col>
      <xdr:colOff>438150</xdr:colOff>
      <xdr:row>21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ame">
              <a:extLst>
                <a:ext uri="{FF2B5EF4-FFF2-40B4-BE49-F238E27FC236}">
                  <a16:creationId xmlns:a16="http://schemas.microsoft.com/office/drawing/2014/main" id="{9DEC8524-4E1F-462A-A33C-69E553CA07DC}"/>
                </a:ext>
                <a:ext uri="{147F2762-F138-4A5C-976F-8EAC2B608ADB}">
                  <a16:predDERef xmlns:a16="http://schemas.microsoft.com/office/drawing/2014/main" pred="{65EA5971-A96B-5D62-2E9C-EDD463F256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981200"/>
              <a:ext cx="1828800" cy="2152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638175</xdr:colOff>
      <xdr:row>7</xdr:row>
      <xdr:rowOff>152400</xdr:rowOff>
    </xdr:from>
    <xdr:to>
      <xdr:col>9</xdr:col>
      <xdr:colOff>1724025</xdr:colOff>
      <xdr:row>17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partment 1">
              <a:extLst>
                <a:ext uri="{FF2B5EF4-FFF2-40B4-BE49-F238E27FC236}">
                  <a16:creationId xmlns:a16="http://schemas.microsoft.com/office/drawing/2014/main" id="{7E16F0A1-D720-45F9-0981-98D0359F1068}"/>
                </a:ext>
                <a:ext uri="{147F2762-F138-4A5C-976F-8EAC2B608ADB}">
                  <a16:predDERef xmlns:a16="http://schemas.microsoft.com/office/drawing/2014/main" pred="{9DEC8524-4E1F-462A-A33C-69E553CA07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7700" y="1685925"/>
              <a:ext cx="18288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10</xdr:row>
      <xdr:rowOff>57150</xdr:rowOff>
    </xdr:from>
    <xdr:to>
      <xdr:col>4</xdr:col>
      <xdr:colOff>171450</xdr:colOff>
      <xdr:row>20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ment">
              <a:extLst>
                <a:ext uri="{FF2B5EF4-FFF2-40B4-BE49-F238E27FC236}">
                  <a16:creationId xmlns:a16="http://schemas.microsoft.com/office/drawing/2014/main" id="{CC5D047E-A0EB-62D9-6658-5589175F73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7875" y="1962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323850</xdr:colOff>
      <xdr:row>10</xdr:row>
      <xdr:rowOff>152400</xdr:rowOff>
    </xdr:from>
    <xdr:to>
      <xdr:col>6</xdr:col>
      <xdr:colOff>304800</xdr:colOff>
      <xdr:row>20</xdr:row>
      <xdr:rowOff>276225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 title="dashboard">
              <a:extLst>
                <a:ext uri="{FF2B5EF4-FFF2-40B4-BE49-F238E27FC236}">
                  <a16:creationId xmlns:a16="http://schemas.microsoft.com/office/drawing/2014/main" id="{459DC222-0B7F-B235-ADE4-8A95DF609D1D}"/>
                </a:ext>
                <a:ext uri="{147F2762-F138-4A5C-976F-8EAC2B608ADB}">
                  <a16:predDERef xmlns:a16="http://schemas.microsoft.com/office/drawing/2014/main" pred="{CC5D047E-A0EB-62D9-6658-5589175F73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9075" y="1952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10</xdr:row>
      <xdr:rowOff>57150</xdr:rowOff>
    </xdr:from>
    <xdr:to>
      <xdr:col>2</xdr:col>
      <xdr:colOff>28575</xdr:colOff>
      <xdr:row>23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alary">
              <a:extLst>
                <a:ext uri="{FF2B5EF4-FFF2-40B4-BE49-F238E27FC236}">
                  <a16:creationId xmlns:a16="http://schemas.microsoft.com/office/drawing/2014/main" id="{28C8DEE2-1320-29DD-DE89-DF0F8CBF5A63}"/>
                </a:ext>
                <a:ext uri="{147F2762-F138-4A5C-976F-8EAC2B608ADB}">
                  <a16:predDERef xmlns:a16="http://schemas.microsoft.com/office/drawing/2014/main" pred="{459DC222-0B7F-B235-ADE4-8A95DF609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a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1962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333375</xdr:colOff>
      <xdr:row>1</xdr:row>
      <xdr:rowOff>0</xdr:rowOff>
    </xdr:from>
    <xdr:to>
      <xdr:col>17</xdr:col>
      <xdr:colOff>485775</xdr:colOff>
      <xdr:row>17</xdr:row>
      <xdr:rowOff>123825</xdr:rowOff>
    </xdr:to>
    <xdr:graphicFrame macro="">
      <xdr:nvGraphicFramePr>
        <xdr:cNvPr id="5" name="Chart 4" descr="Chart type: Clustered Bar. 'Salary' by 'Country' and 'Department'&#10;&#10;Description automatically generated">
          <a:extLst>
            <a:ext uri="{FF2B5EF4-FFF2-40B4-BE49-F238E27FC236}">
              <a16:creationId xmlns:a16="http://schemas.microsoft.com/office/drawing/2014/main" id="{2C41650F-CC6E-84A1-3DCA-1AA81971BE6E}"/>
            </a:ext>
            <a:ext uri="{147F2762-F138-4A5C-976F-8EAC2B608ADB}">
              <a16:predDERef xmlns:a16="http://schemas.microsoft.com/office/drawing/2014/main" pred="{28C8DEE2-1320-29DD-DE89-DF0F8CBF5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1</xdr:row>
      <xdr:rowOff>161925</xdr:rowOff>
    </xdr:from>
    <xdr:to>
      <xdr:col>14</xdr:col>
      <xdr:colOff>9525</xdr:colOff>
      <xdr:row>16</xdr:row>
      <xdr:rowOff>47625</xdr:rowOff>
    </xdr:to>
    <xdr:graphicFrame macro="">
      <xdr:nvGraphicFramePr>
        <xdr:cNvPr id="3" name="Chart 2" descr="Chart type: Clustered Column. 'Gender' by 'Country' and 'Gender'&#10;&#10;Description automatically generated">
          <a:extLst>
            <a:ext uri="{FF2B5EF4-FFF2-40B4-BE49-F238E27FC236}">
              <a16:creationId xmlns:a16="http://schemas.microsoft.com/office/drawing/2014/main" id="{F997C7F5-F65C-9444-4EAE-28E51D845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352425</xdr:colOff>
      <xdr:row>1</xdr:row>
      <xdr:rowOff>57150</xdr:rowOff>
    </xdr:from>
    <xdr:to>
      <xdr:col>20</xdr:col>
      <xdr:colOff>352425</xdr:colOff>
      <xdr:row>11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ment 2">
              <a:extLst>
                <a:ext uri="{FF2B5EF4-FFF2-40B4-BE49-F238E27FC236}">
                  <a16:creationId xmlns:a16="http://schemas.microsoft.com/office/drawing/2014/main" id="{C8BC7D5F-EB42-D73D-03CF-7E04604CFED3}"/>
                </a:ext>
                <a:ext uri="{147F2762-F138-4A5C-976F-8EAC2B608ADB}">
                  <a16:predDERef xmlns:a16="http://schemas.microsoft.com/office/drawing/2014/main" pred="{F997C7F5-F65C-9444-4EAE-28E51D845F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3750" y="247650"/>
              <a:ext cx="18288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190500</xdr:colOff>
      <xdr:row>1</xdr:row>
      <xdr:rowOff>133350</xdr:rowOff>
    </xdr:from>
    <xdr:to>
      <xdr:col>17</xdr:col>
      <xdr:colOff>190500</xdr:colOff>
      <xdr:row>11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ountry 1">
              <a:extLst>
                <a:ext uri="{FF2B5EF4-FFF2-40B4-BE49-F238E27FC236}">
                  <a16:creationId xmlns:a16="http://schemas.microsoft.com/office/drawing/2014/main" id="{1CBDC98A-050D-E4D7-4663-5ECAB8BA6A7A}"/>
                </a:ext>
                <a:ext uri="{147F2762-F138-4A5C-976F-8EAC2B608ADB}">
                  <a16:predDERef xmlns:a16="http://schemas.microsoft.com/office/drawing/2014/main" pred="{C8BC7D5F-EB42-D73D-03CF-7E04604CFE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3025" y="323850"/>
              <a:ext cx="18288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</xdr:row>
      <xdr:rowOff>76200</xdr:rowOff>
    </xdr:from>
    <xdr:to>
      <xdr:col>11</xdr:col>
      <xdr:colOff>257175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B696E0-EC68-BB9D-C900-8E6EF23A7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381000</xdr:colOff>
      <xdr:row>1</xdr:row>
      <xdr:rowOff>114300</xdr:rowOff>
    </xdr:from>
    <xdr:to>
      <xdr:col>14</xdr:col>
      <xdr:colOff>381000</xdr:colOff>
      <xdr:row>11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ment 3">
              <a:extLst>
                <a:ext uri="{FF2B5EF4-FFF2-40B4-BE49-F238E27FC236}">
                  <a16:creationId xmlns:a16="http://schemas.microsoft.com/office/drawing/2014/main" id="{A31AF206-5B0E-C0CD-808C-C9905CA55B19}"/>
                </a:ext>
                <a:ext uri="{147F2762-F138-4A5C-976F-8EAC2B608ADB}">
                  <a16:predDERef xmlns:a16="http://schemas.microsoft.com/office/drawing/2014/main" pred="{51B696E0-EC68-BB9D-C900-8E6EF23A78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6825" y="304800"/>
              <a:ext cx="1828800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47625</xdr:colOff>
      <xdr:row>1</xdr:row>
      <xdr:rowOff>133350</xdr:rowOff>
    </xdr:from>
    <xdr:to>
      <xdr:col>18</xdr:col>
      <xdr:colOff>47625</xdr:colOff>
      <xdr:row>10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erformance Rating">
              <a:extLst>
                <a:ext uri="{FF2B5EF4-FFF2-40B4-BE49-F238E27FC236}">
                  <a16:creationId xmlns:a16="http://schemas.microsoft.com/office/drawing/2014/main" id="{FCB1BD38-DED2-8AC3-E6D8-9A53F7592841}"/>
                </a:ext>
                <a:ext uri="{147F2762-F138-4A5C-976F-8EAC2B608ADB}">
                  <a16:predDERef xmlns:a16="http://schemas.microsoft.com/office/drawing/2014/main" pred="{A31AF206-5B0E-C0CD-808C-C9905CA55B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 Ra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1850" y="323850"/>
              <a:ext cx="1828800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0</xdr:row>
      <xdr:rowOff>85725</xdr:rowOff>
    </xdr:from>
    <xdr:to>
      <xdr:col>10</xdr:col>
      <xdr:colOff>304800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879A9-4C12-CBF3-B59D-E3D5617BB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28575</xdr:rowOff>
    </xdr:from>
    <xdr:to>
      <xdr:col>9</xdr:col>
      <xdr:colOff>685800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14B3A-6AF5-3C65-CB02-2801587F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161925</xdr:rowOff>
    </xdr:from>
    <xdr:to>
      <xdr:col>10</xdr:col>
      <xdr:colOff>114300</xdr:colOff>
      <xdr:row>20</xdr:row>
      <xdr:rowOff>85725</xdr:rowOff>
    </xdr:to>
    <xdr:graphicFrame macro="">
      <xdr:nvGraphicFramePr>
        <xdr:cNvPr id="2" name="Chart 1" descr="Chart type: Clustered Column. 'Salary' by 'Department'&#10;&#10;Description automatically generated">
          <a:extLst>
            <a:ext uri="{FF2B5EF4-FFF2-40B4-BE49-F238E27FC236}">
              <a16:creationId xmlns:a16="http://schemas.microsoft.com/office/drawing/2014/main" id="{51CC6BFA-DC1D-4F9C-A701-F27A2FC5C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4</xdr:row>
      <xdr:rowOff>180975</xdr:rowOff>
    </xdr:from>
    <xdr:to>
      <xdr:col>16</xdr:col>
      <xdr:colOff>219075</xdr:colOff>
      <xdr:row>20</xdr:row>
      <xdr:rowOff>123825</xdr:rowOff>
    </xdr:to>
    <xdr:graphicFrame macro="">
      <xdr:nvGraphicFramePr>
        <xdr:cNvPr id="3" name="Chart 2" descr="Chart type: Clustered Bar. 'Salary' by 'Country' and 'Department'&#10;&#10;Description automatically generated">
          <a:extLst>
            <a:ext uri="{FF2B5EF4-FFF2-40B4-BE49-F238E27FC236}">
              <a16:creationId xmlns:a16="http://schemas.microsoft.com/office/drawing/2014/main" id="{5BE4A669-D186-442C-AE98-5CFF6CEA1D5E}"/>
            </a:ext>
            <a:ext uri="{147F2762-F138-4A5C-976F-8EAC2B608ADB}">
              <a16:predDERef xmlns:a16="http://schemas.microsoft.com/office/drawing/2014/main" pred="{51CC6BFA-DC1D-4F9C-A701-F27A2FC5C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247650</xdr:colOff>
      <xdr:row>5</xdr:row>
      <xdr:rowOff>28575</xdr:rowOff>
    </xdr:from>
    <xdr:to>
      <xdr:col>23</xdr:col>
      <xdr:colOff>552450</xdr:colOff>
      <xdr:row>19</xdr:row>
      <xdr:rowOff>104775</xdr:rowOff>
    </xdr:to>
    <xdr:graphicFrame macro="">
      <xdr:nvGraphicFramePr>
        <xdr:cNvPr id="4" name="Chart 3" descr="Chart type: Clustered Column. 'Gender' by 'Country' and 'Gender'&#10;&#10;Description automatically generated">
          <a:extLst>
            <a:ext uri="{FF2B5EF4-FFF2-40B4-BE49-F238E27FC236}">
              <a16:creationId xmlns:a16="http://schemas.microsoft.com/office/drawing/2014/main" id="{F9197B13-C096-4D67-99CD-86BC11659039}"/>
            </a:ext>
            <a:ext uri="{147F2762-F138-4A5C-976F-8EAC2B608ADB}">
              <a16:predDERef xmlns:a16="http://schemas.microsoft.com/office/drawing/2014/main" pred="{5BE4A669-D186-442C-AE98-5CFF6CEA1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295275</xdr:colOff>
      <xdr:row>20</xdr:row>
      <xdr:rowOff>152400</xdr:rowOff>
    </xdr:from>
    <xdr:to>
      <xdr:col>10</xdr:col>
      <xdr:colOff>333375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6564C6-E4F6-441C-ADE4-FE3CF6A76424}"/>
            </a:ext>
            <a:ext uri="{147F2762-F138-4A5C-976F-8EAC2B608ADB}">
              <a16:predDERef xmlns:a16="http://schemas.microsoft.com/office/drawing/2014/main" pred="{F9197B13-C096-4D67-99CD-86BC11659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438150</xdr:colOff>
      <xdr:row>20</xdr:row>
      <xdr:rowOff>180975</xdr:rowOff>
    </xdr:from>
    <xdr:to>
      <xdr:col>16</xdr:col>
      <xdr:colOff>133350</xdr:colOff>
      <xdr:row>36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7C3600-8344-426F-A32D-02A2916847D5}"/>
            </a:ext>
            <a:ext uri="{147F2762-F138-4A5C-976F-8EAC2B608ADB}">
              <a16:predDERef xmlns:a16="http://schemas.microsoft.com/office/drawing/2014/main" pred="{BD6564C6-E4F6-441C-ADE4-FE3CF6A76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247650</xdr:colOff>
      <xdr:row>19</xdr:row>
      <xdr:rowOff>152400</xdr:rowOff>
    </xdr:from>
    <xdr:to>
      <xdr:col>23</xdr:col>
      <xdr:colOff>552450</xdr:colOff>
      <xdr:row>36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41A017-6ACC-47AE-A324-09E6AB999295}"/>
            </a:ext>
            <a:ext uri="{147F2762-F138-4A5C-976F-8EAC2B608ADB}">
              <a16:predDERef xmlns:a16="http://schemas.microsoft.com/office/drawing/2014/main" pred="{247C3600-8344-426F-A32D-02A291684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5.836568749997" createdVersion="8" refreshedVersion="8" minRefreshableVersion="3" recordCount="112" xr:uid="{6EDDE795-90DB-49DE-8E97-191BEC54109F}">
  <cacheSource type="worksheet">
    <worksheetSource name="Table1"/>
  </cacheSource>
  <cacheFields count="10">
    <cacheField name="Employee ID" numFmtId="0">
      <sharedItems/>
    </cacheField>
    <cacheField name="Name" numFmtId="0">
      <sharedItems count="7">
        <s v="Eve Adams"/>
        <s v="Alice Brown"/>
        <s v="John Doe"/>
        <s v="Jane Smith"/>
        <s v="Chris Lee"/>
        <s v="Sam Wilson"/>
        <s v="Bob Johnson"/>
      </sharedItems>
    </cacheField>
    <cacheField name="Department" numFmtId="0">
      <sharedItems count="6">
        <s v="HR"/>
        <s v="Finance"/>
        <s v="Sales"/>
        <s v="IT"/>
        <s v="nan"/>
        <s v="Marketing"/>
      </sharedItems>
    </cacheField>
    <cacheField name="Country" numFmtId="0">
      <sharedItems containsBlank="1" count="6">
        <s v="Germany"/>
        <s v="USA"/>
        <s v="India"/>
        <s v="UK"/>
        <s v="Australia"/>
        <m/>
      </sharedItems>
    </cacheField>
    <cacheField name="Salary" numFmtId="164">
      <sharedItems containsSemiMixedTypes="0" containsString="0" containsNumber="1" containsInteger="1" minValue="30357" maxValue="99621" count="112">
        <n v="54255"/>
        <n v="63184"/>
        <n v="94406"/>
        <n v="64120"/>
        <n v="78421"/>
        <n v="97881"/>
        <n v="91846"/>
        <n v="64247"/>
        <n v="91180"/>
        <n v="62158"/>
        <n v="90271"/>
        <n v="41341"/>
        <n v="73602"/>
        <n v="67531"/>
        <n v="38333"/>
        <n v="36515"/>
        <n v="52272"/>
        <n v="76518"/>
        <n v="41448"/>
        <n v="49282"/>
        <n v="92959"/>
        <n v="92299"/>
        <n v="95367"/>
        <n v="79549"/>
        <n v="54463"/>
        <n v="89781"/>
        <n v="52093"/>
        <n v="48224"/>
        <n v="33956"/>
        <n v="64913"/>
        <n v="35326"/>
        <n v="92701"/>
        <n v="58245"/>
        <n v="78720"/>
        <n v="30686"/>
        <n v="39423"/>
        <n v="33352"/>
        <n v="75633"/>
        <n v="74815"/>
        <n v="60011"/>
        <n v="96949"/>
        <n v="82033"/>
        <n v="31499"/>
        <n v="97981"/>
        <n v="36541"/>
        <n v="84737"/>
        <n v="33468"/>
        <n v="96365"/>
        <n v="61942"/>
        <n v="41467"/>
        <n v="77096"/>
        <n v="69952"/>
        <n v="85065"/>
        <n v="56512"/>
        <n v="91101"/>
        <n v="41243"/>
        <n v="94301"/>
        <n v="69166"/>
        <n v="78245"/>
        <n v="66079"/>
        <n v="95621"/>
        <n v="42262"/>
        <n v="99621"/>
        <n v="44682"/>
        <n v="33483"/>
        <n v="55303"/>
        <n v="38830"/>
        <n v="69420"/>
        <n v="76238"/>
        <n v="33264"/>
        <n v="96101"/>
        <n v="72939"/>
        <n v="89333"/>
        <n v="70470"/>
        <n v="70096"/>
        <n v="66503"/>
        <n v="42096"/>
        <n v="61556"/>
        <n v="86412"/>
        <n v="88850"/>
        <n v="31293"/>
        <n v="34306"/>
        <n v="78330"/>
        <n v="47653"/>
        <n v="44627"/>
        <n v="92343"/>
        <n v="38837"/>
        <n v="95032"/>
        <n v="44358"/>
        <n v="45676"/>
        <n v="52036"/>
        <n v="30357"/>
        <n v="90019"/>
        <n v="71494"/>
        <n v="91953"/>
        <n v="30402"/>
        <n v="62994"/>
        <n v="48289"/>
        <n v="34402"/>
        <n v="38678"/>
        <n v="45758"/>
        <n v="62476"/>
        <n v="60335"/>
        <n v="84968"/>
        <n v="84750"/>
        <n v="66882"/>
        <n v="91620"/>
        <n v="35627"/>
        <n v="57141"/>
        <n v="65270"/>
        <n v="67335"/>
        <n v="98475"/>
      </sharedItems>
    </cacheField>
    <cacheField name="Date of Joining" numFmtId="165">
      <sharedItems containsNonDate="0" containsDate="1" containsString="0" containsBlank="1" minDate="2015-01-11T00:00:00" maxDate="2017-11-13T00:00:00"/>
    </cacheField>
    <cacheField name="Performance Rating" numFmtId="0">
      <sharedItems containsSemiMixedTypes="0" containsString="0" containsNumber="1" containsInteger="1" minValue="1" maxValue="5" count="5">
        <n v="1"/>
        <n v="2"/>
        <n v="3"/>
        <n v="5"/>
        <n v="4"/>
      </sharedItems>
    </cacheField>
    <cacheField name="Gender" numFmtId="0">
      <sharedItems count="4">
        <s v="Other"/>
        <s v="Unknown"/>
        <s v="Male"/>
        <s v="Female"/>
      </sharedItems>
    </cacheField>
    <cacheField name="Email" numFmtId="0">
      <sharedItems/>
    </cacheField>
    <cacheField name="Date" numFmtId="165">
      <sharedItems containsSemiMixedTypes="0" containsNonDate="0" containsDate="1" containsString="0" minDate="2025-11-14T20:04:40" maxDate="2025-11-14T20:04:40"/>
    </cacheField>
  </cacheFields>
  <extLst>
    <ext xmlns:x14="http://schemas.microsoft.com/office/spreadsheetml/2009/9/main" uri="{725AE2AE-9491-48be-B2B4-4EB974FC3084}">
      <x14:pivotCacheDefinition pivotCacheId="11431443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EMP1001"/>
    <x v="0"/>
    <x v="0"/>
    <x v="0"/>
    <x v="0"/>
    <d v="2015-01-11T00:00:00"/>
    <x v="0"/>
    <x v="0"/>
    <s v="user106@example.com"/>
    <d v="2025-11-14T20:04:40"/>
  </r>
  <r>
    <s v="EMP1002"/>
    <x v="1"/>
    <x v="1"/>
    <x v="0"/>
    <x v="1"/>
    <d v="2015-01-18T00:00:00"/>
    <x v="1"/>
    <x v="1"/>
    <s v="user176@example.com"/>
    <d v="2025-11-14T20:04:40"/>
  </r>
  <r>
    <s v="EMP1003"/>
    <x v="2"/>
    <x v="2"/>
    <x v="1"/>
    <x v="2"/>
    <d v="2015-01-25T00:00:00"/>
    <x v="0"/>
    <x v="2"/>
    <s v="user168@example.com"/>
    <d v="2025-11-14T20:04:40"/>
  </r>
  <r>
    <s v="EMP1004"/>
    <x v="3"/>
    <x v="2"/>
    <x v="0"/>
    <x v="3"/>
    <d v="2015-02-01T00:00:00"/>
    <x v="0"/>
    <x v="2"/>
    <s v="user49@example.com"/>
    <d v="2025-11-14T20:04:40"/>
  </r>
  <r>
    <s v="EMP1005"/>
    <x v="1"/>
    <x v="3"/>
    <x v="2"/>
    <x v="4"/>
    <d v="2015-02-08T00:00:00"/>
    <x v="1"/>
    <x v="3"/>
    <s v="user24@example.com"/>
    <d v="2025-11-14T20:04:40"/>
  </r>
  <r>
    <s v="EMP1008"/>
    <x v="1"/>
    <x v="3"/>
    <x v="0"/>
    <x v="5"/>
    <d v="2015-03-01T00:00:00"/>
    <x v="2"/>
    <x v="3"/>
    <s v="user25@example.com"/>
    <d v="2025-11-14T20:04:40"/>
  </r>
  <r>
    <s v="EMP1009"/>
    <x v="4"/>
    <x v="0"/>
    <x v="3"/>
    <x v="6"/>
    <d v="2015-03-08T00:00:00"/>
    <x v="2"/>
    <x v="2"/>
    <s v="user153@example.com"/>
    <d v="2025-11-14T20:04:40"/>
  </r>
  <r>
    <s v="EMP1010"/>
    <x v="5"/>
    <x v="1"/>
    <x v="3"/>
    <x v="7"/>
    <d v="2015-03-15T00:00:00"/>
    <x v="0"/>
    <x v="3"/>
    <s v="user18@example.com"/>
    <d v="2025-11-14T20:04:40"/>
  </r>
  <r>
    <s v="EMP1011"/>
    <x v="5"/>
    <x v="3"/>
    <x v="1"/>
    <x v="8"/>
    <d v="2015-03-22T00:00:00"/>
    <x v="3"/>
    <x v="2"/>
    <s v="user1@example.com"/>
    <d v="2025-11-14T20:04:40"/>
  </r>
  <r>
    <s v="EMP1013"/>
    <x v="5"/>
    <x v="4"/>
    <x v="2"/>
    <x v="9"/>
    <d v="2015-04-05T00:00:00"/>
    <x v="4"/>
    <x v="1"/>
    <s v="user180@example.com"/>
    <d v="2025-11-14T20:04:40"/>
  </r>
  <r>
    <s v="EMP1016"/>
    <x v="6"/>
    <x v="4"/>
    <x v="0"/>
    <x v="10"/>
    <d v="2015-04-26T00:00:00"/>
    <x v="2"/>
    <x v="1"/>
    <s v="user64@example.com"/>
    <d v="2025-11-14T20:04:40"/>
  </r>
  <r>
    <s v="EMP1017"/>
    <x v="3"/>
    <x v="1"/>
    <x v="4"/>
    <x v="11"/>
    <d v="2015-05-03T00:00:00"/>
    <x v="0"/>
    <x v="0"/>
    <s v="user38@example.com"/>
    <d v="2025-11-14T20:04:40"/>
  </r>
  <r>
    <s v="EMP1018"/>
    <x v="1"/>
    <x v="1"/>
    <x v="3"/>
    <x v="12"/>
    <d v="2015-05-10T00:00:00"/>
    <x v="2"/>
    <x v="1"/>
    <s v="user96@example.com"/>
    <d v="2025-11-14T20:04:40"/>
  </r>
  <r>
    <s v="EMP1019"/>
    <x v="0"/>
    <x v="4"/>
    <x v="2"/>
    <x v="13"/>
    <d v="2015-05-17T00:00:00"/>
    <x v="3"/>
    <x v="3"/>
    <s v="user151@example.com"/>
    <d v="2025-11-14T20:04:40"/>
  </r>
  <r>
    <s v="EMP1022"/>
    <x v="0"/>
    <x v="1"/>
    <x v="2"/>
    <x v="14"/>
    <d v="2015-06-07T00:00:00"/>
    <x v="3"/>
    <x v="1"/>
    <s v="user128@example.com"/>
    <d v="2025-11-14T20:04:40"/>
  </r>
  <r>
    <s v="EMP1023"/>
    <x v="1"/>
    <x v="5"/>
    <x v="3"/>
    <x v="15"/>
    <d v="2015-06-14T00:00:00"/>
    <x v="2"/>
    <x v="2"/>
    <s v="user149@example.com"/>
    <d v="2025-11-14T20:04:40"/>
  </r>
  <r>
    <s v="EMP1025"/>
    <x v="4"/>
    <x v="4"/>
    <x v="5"/>
    <x v="16"/>
    <d v="2015-06-28T00:00:00"/>
    <x v="2"/>
    <x v="1"/>
    <s v="user41@example.com"/>
    <d v="2025-11-14T20:04:40"/>
  </r>
  <r>
    <s v="EMP1026"/>
    <x v="0"/>
    <x v="2"/>
    <x v="0"/>
    <x v="17"/>
    <d v="2015-07-05T00:00:00"/>
    <x v="1"/>
    <x v="3"/>
    <s v="user68@example.com"/>
    <d v="2025-11-14T20:04:40"/>
  </r>
  <r>
    <s v="EMP1027"/>
    <x v="1"/>
    <x v="3"/>
    <x v="3"/>
    <x v="18"/>
    <d v="2015-07-12T00:00:00"/>
    <x v="2"/>
    <x v="0"/>
    <s v="user103@example.com"/>
    <d v="2025-11-14T20:04:40"/>
  </r>
  <r>
    <s v="EMP1028"/>
    <x v="2"/>
    <x v="0"/>
    <x v="3"/>
    <x v="19"/>
    <d v="2015-07-19T00:00:00"/>
    <x v="1"/>
    <x v="3"/>
    <s v="user135@example.com"/>
    <d v="2025-11-14T20:04:40"/>
  </r>
  <r>
    <s v="EMP1029"/>
    <x v="6"/>
    <x v="5"/>
    <x v="3"/>
    <x v="20"/>
    <d v="2015-07-26T00:00:00"/>
    <x v="3"/>
    <x v="1"/>
    <s v="user83@example.com"/>
    <d v="2025-11-14T20:04:40"/>
  </r>
  <r>
    <s v="EMP1031"/>
    <x v="0"/>
    <x v="0"/>
    <x v="0"/>
    <x v="21"/>
    <d v="2015-08-09T00:00:00"/>
    <x v="2"/>
    <x v="2"/>
    <s v="user143@example.com"/>
    <d v="2025-11-14T20:04:40"/>
  </r>
  <r>
    <s v="EMP1033"/>
    <x v="4"/>
    <x v="4"/>
    <x v="1"/>
    <x v="22"/>
    <d v="2015-08-23T00:00:00"/>
    <x v="2"/>
    <x v="2"/>
    <s v="user136@example.com"/>
    <d v="2025-11-14T20:04:40"/>
  </r>
  <r>
    <s v="EMP1034"/>
    <x v="2"/>
    <x v="2"/>
    <x v="4"/>
    <x v="23"/>
    <d v="2015-08-30T00:00:00"/>
    <x v="2"/>
    <x v="1"/>
    <s v="user198@example.com"/>
    <d v="2025-11-14T20:04:40"/>
  </r>
  <r>
    <s v="EMP1035"/>
    <x v="1"/>
    <x v="4"/>
    <x v="3"/>
    <x v="24"/>
    <d v="2015-09-06T00:00:00"/>
    <x v="4"/>
    <x v="2"/>
    <s v="invalid_email"/>
    <d v="2025-11-14T20:04:40"/>
  </r>
  <r>
    <s v="EMP1036"/>
    <x v="1"/>
    <x v="3"/>
    <x v="1"/>
    <x v="25"/>
    <d v="2015-09-13T00:00:00"/>
    <x v="2"/>
    <x v="3"/>
    <s v="user31@example.com"/>
    <d v="2025-11-14T20:04:40"/>
  </r>
  <r>
    <s v="EMP1038"/>
    <x v="2"/>
    <x v="5"/>
    <x v="3"/>
    <x v="26"/>
    <d v="2015-09-27T00:00:00"/>
    <x v="3"/>
    <x v="1"/>
    <s v="user154@example.com"/>
    <d v="2025-11-14T20:04:40"/>
  </r>
  <r>
    <s v="EMP1039"/>
    <x v="4"/>
    <x v="0"/>
    <x v="3"/>
    <x v="27"/>
    <d v="2015-10-04T00:00:00"/>
    <x v="2"/>
    <x v="1"/>
    <s v="user42@example.com"/>
    <d v="2025-11-14T20:04:40"/>
  </r>
  <r>
    <s v="EMP1041"/>
    <x v="1"/>
    <x v="3"/>
    <x v="0"/>
    <x v="28"/>
    <d v="2015-10-18T00:00:00"/>
    <x v="2"/>
    <x v="1"/>
    <s v="user47@example.com"/>
    <d v="2025-11-14T20:04:40"/>
  </r>
  <r>
    <s v="EMP1042"/>
    <x v="6"/>
    <x v="4"/>
    <x v="4"/>
    <x v="29"/>
    <d v="2015-10-25T00:00:00"/>
    <x v="0"/>
    <x v="3"/>
    <s v="user175@example.com"/>
    <d v="2025-11-14T20:04:40"/>
  </r>
  <r>
    <s v="EMP1043"/>
    <x v="1"/>
    <x v="5"/>
    <x v="4"/>
    <x v="30"/>
    <d v="2015-11-01T00:00:00"/>
    <x v="2"/>
    <x v="3"/>
    <s v="user57@example.com"/>
    <d v="2025-11-14T20:04:40"/>
  </r>
  <r>
    <s v="EMP1046"/>
    <x v="4"/>
    <x v="3"/>
    <x v="0"/>
    <x v="31"/>
    <d v="2015-11-22T00:00:00"/>
    <x v="2"/>
    <x v="0"/>
    <s v="user199@example.com"/>
    <d v="2025-11-14T20:04:40"/>
  </r>
  <r>
    <s v="EMP1047"/>
    <x v="4"/>
    <x v="0"/>
    <x v="2"/>
    <x v="32"/>
    <d v="2015-11-29T00:00:00"/>
    <x v="4"/>
    <x v="1"/>
    <s v="user43@example.com"/>
    <d v="2025-11-14T20:04:40"/>
  </r>
  <r>
    <s v="EMP1049"/>
    <x v="0"/>
    <x v="0"/>
    <x v="0"/>
    <x v="33"/>
    <d v="2015-12-13T00:00:00"/>
    <x v="3"/>
    <x v="3"/>
    <s v="user89@example.com"/>
    <d v="2025-11-14T20:04:40"/>
  </r>
  <r>
    <s v="EMP1050"/>
    <x v="4"/>
    <x v="4"/>
    <x v="5"/>
    <x v="34"/>
    <m/>
    <x v="1"/>
    <x v="3"/>
    <s v="user95@example.com"/>
    <d v="2025-11-14T20:04:40"/>
  </r>
  <r>
    <s v="EMP1051"/>
    <x v="5"/>
    <x v="2"/>
    <x v="2"/>
    <x v="35"/>
    <d v="2015-12-27T00:00:00"/>
    <x v="3"/>
    <x v="1"/>
    <s v="user59@example.com"/>
    <d v="2025-11-14T20:04:40"/>
  </r>
  <r>
    <s v="EMP1053"/>
    <x v="0"/>
    <x v="1"/>
    <x v="3"/>
    <x v="36"/>
    <d v="2016-01-10T00:00:00"/>
    <x v="2"/>
    <x v="3"/>
    <s v="user200@example.com"/>
    <d v="2025-11-14T20:04:40"/>
  </r>
  <r>
    <s v="EMP1054"/>
    <x v="6"/>
    <x v="5"/>
    <x v="3"/>
    <x v="37"/>
    <d v="2016-01-17T00:00:00"/>
    <x v="3"/>
    <x v="0"/>
    <s v="user92@example.com"/>
    <d v="2025-11-14T20:04:40"/>
  </r>
  <r>
    <s v="EMP1055"/>
    <x v="4"/>
    <x v="4"/>
    <x v="1"/>
    <x v="38"/>
    <d v="2016-01-24T00:00:00"/>
    <x v="3"/>
    <x v="3"/>
    <s v="user50@example.com"/>
    <d v="2025-11-14T20:04:40"/>
  </r>
  <r>
    <s v="EMP1056"/>
    <x v="2"/>
    <x v="2"/>
    <x v="4"/>
    <x v="39"/>
    <d v="2016-01-31T00:00:00"/>
    <x v="0"/>
    <x v="2"/>
    <s v="user63@example.com"/>
    <d v="2025-11-14T20:04:40"/>
  </r>
  <r>
    <s v="EMP1057"/>
    <x v="0"/>
    <x v="4"/>
    <x v="2"/>
    <x v="40"/>
    <d v="2016-02-07T00:00:00"/>
    <x v="2"/>
    <x v="1"/>
    <s v="user103@example.com"/>
    <d v="2025-11-14T20:04:40"/>
  </r>
  <r>
    <s v="EMP1059"/>
    <x v="5"/>
    <x v="1"/>
    <x v="1"/>
    <x v="41"/>
    <d v="2016-02-21T00:00:00"/>
    <x v="0"/>
    <x v="1"/>
    <s v="user20@example.com"/>
    <d v="2025-11-14T20:04:40"/>
  </r>
  <r>
    <s v="EMP1061"/>
    <x v="0"/>
    <x v="4"/>
    <x v="4"/>
    <x v="42"/>
    <d v="2016-03-06T00:00:00"/>
    <x v="1"/>
    <x v="1"/>
    <s v="user31@example.com"/>
    <d v="2025-11-14T20:04:40"/>
  </r>
  <r>
    <s v="EMP1062"/>
    <x v="4"/>
    <x v="3"/>
    <x v="3"/>
    <x v="43"/>
    <d v="2016-03-13T00:00:00"/>
    <x v="3"/>
    <x v="3"/>
    <s v="user71@example.com"/>
    <d v="2025-11-14T20:04:40"/>
  </r>
  <r>
    <s v="EMP1063"/>
    <x v="0"/>
    <x v="0"/>
    <x v="1"/>
    <x v="44"/>
    <d v="2016-03-20T00:00:00"/>
    <x v="1"/>
    <x v="0"/>
    <s v="user97@example.com"/>
    <d v="2025-11-14T20:04:40"/>
  </r>
  <r>
    <s v="EMP1064"/>
    <x v="2"/>
    <x v="3"/>
    <x v="2"/>
    <x v="45"/>
    <d v="2016-03-27T00:00:00"/>
    <x v="0"/>
    <x v="2"/>
    <s v="user141@example.com"/>
    <d v="2025-11-14T20:04:40"/>
  </r>
  <r>
    <s v="EMP1065"/>
    <x v="5"/>
    <x v="1"/>
    <x v="2"/>
    <x v="46"/>
    <d v="2016-04-03T00:00:00"/>
    <x v="4"/>
    <x v="2"/>
    <s v="user125@example.com"/>
    <d v="2025-11-14T20:04:40"/>
  </r>
  <r>
    <s v="EMP1066"/>
    <x v="5"/>
    <x v="4"/>
    <x v="4"/>
    <x v="47"/>
    <d v="2016-04-10T00:00:00"/>
    <x v="2"/>
    <x v="0"/>
    <s v="user90@example.com"/>
    <d v="2025-11-14T20:04:40"/>
  </r>
  <r>
    <s v="EMP1067"/>
    <x v="1"/>
    <x v="2"/>
    <x v="2"/>
    <x v="48"/>
    <d v="2016-04-17T00:00:00"/>
    <x v="2"/>
    <x v="3"/>
    <s v="user192@example.com"/>
    <d v="2025-11-14T20:04:40"/>
  </r>
  <r>
    <s v="EMP1068"/>
    <x v="5"/>
    <x v="1"/>
    <x v="3"/>
    <x v="49"/>
    <d v="2016-04-24T00:00:00"/>
    <x v="1"/>
    <x v="1"/>
    <s v="user77@example.com"/>
    <d v="2025-11-14T20:04:40"/>
  </r>
  <r>
    <s v="EMP1069"/>
    <x v="6"/>
    <x v="1"/>
    <x v="2"/>
    <x v="50"/>
    <d v="2016-05-01T00:00:00"/>
    <x v="0"/>
    <x v="1"/>
    <s v="user65@example.com"/>
    <d v="2025-11-14T20:04:40"/>
  </r>
  <r>
    <s v="EMP1070"/>
    <x v="0"/>
    <x v="2"/>
    <x v="4"/>
    <x v="51"/>
    <d v="2016-05-08T00:00:00"/>
    <x v="3"/>
    <x v="3"/>
    <s v="invalid_email"/>
    <d v="2025-11-14T20:04:40"/>
  </r>
  <r>
    <s v="EMP1071"/>
    <x v="0"/>
    <x v="5"/>
    <x v="1"/>
    <x v="52"/>
    <d v="2016-05-15T00:00:00"/>
    <x v="2"/>
    <x v="1"/>
    <s v="user142@example.com"/>
    <d v="2025-11-14T20:04:40"/>
  </r>
  <r>
    <s v="EMP1072"/>
    <x v="6"/>
    <x v="5"/>
    <x v="2"/>
    <x v="53"/>
    <d v="2016-05-22T00:00:00"/>
    <x v="2"/>
    <x v="0"/>
    <s v="user153@example.com"/>
    <d v="2025-11-14T20:04:40"/>
  </r>
  <r>
    <s v="EMP1073"/>
    <x v="2"/>
    <x v="2"/>
    <x v="2"/>
    <x v="54"/>
    <d v="2016-05-29T00:00:00"/>
    <x v="4"/>
    <x v="3"/>
    <s v="user71@example.com"/>
    <d v="2025-11-14T20:04:40"/>
  </r>
  <r>
    <s v="EMP1074"/>
    <x v="5"/>
    <x v="4"/>
    <x v="0"/>
    <x v="55"/>
    <d v="2016-06-05T00:00:00"/>
    <x v="2"/>
    <x v="1"/>
    <s v="user143@example.com"/>
    <d v="2025-11-14T20:04:40"/>
  </r>
  <r>
    <s v="EMP1076"/>
    <x v="0"/>
    <x v="3"/>
    <x v="2"/>
    <x v="56"/>
    <d v="2016-06-19T00:00:00"/>
    <x v="0"/>
    <x v="2"/>
    <s v="user20@example.com"/>
    <d v="2025-11-14T20:04:40"/>
  </r>
  <r>
    <s v="EMP1077"/>
    <x v="3"/>
    <x v="4"/>
    <x v="3"/>
    <x v="57"/>
    <d v="2016-06-26T00:00:00"/>
    <x v="0"/>
    <x v="3"/>
    <s v="user22@example.com"/>
    <d v="2025-11-14T20:04:40"/>
  </r>
  <r>
    <s v="EMP1078"/>
    <x v="5"/>
    <x v="4"/>
    <x v="3"/>
    <x v="58"/>
    <d v="2016-07-03T00:00:00"/>
    <x v="1"/>
    <x v="1"/>
    <s v="user46@example.com"/>
    <d v="2025-11-14T20:04:40"/>
  </r>
  <r>
    <s v="EMP1079"/>
    <x v="4"/>
    <x v="2"/>
    <x v="1"/>
    <x v="59"/>
    <d v="2016-07-10T00:00:00"/>
    <x v="1"/>
    <x v="0"/>
    <s v="user55@example.com"/>
    <d v="2025-11-14T20:04:40"/>
  </r>
  <r>
    <s v="EMP1081"/>
    <x v="3"/>
    <x v="2"/>
    <x v="1"/>
    <x v="60"/>
    <d v="2016-07-24T00:00:00"/>
    <x v="2"/>
    <x v="3"/>
    <s v="user156@example.com"/>
    <d v="2025-11-14T20:04:40"/>
  </r>
  <r>
    <s v="EMP1082"/>
    <x v="0"/>
    <x v="3"/>
    <x v="3"/>
    <x v="61"/>
    <d v="2016-07-31T00:00:00"/>
    <x v="0"/>
    <x v="1"/>
    <s v="user104@example.com"/>
    <d v="2025-11-14T20:04:40"/>
  </r>
  <r>
    <s v="EMP1083"/>
    <x v="5"/>
    <x v="2"/>
    <x v="2"/>
    <x v="62"/>
    <d v="2016-08-07T00:00:00"/>
    <x v="2"/>
    <x v="0"/>
    <s v="user145@example.com"/>
    <d v="2025-11-14T20:04:40"/>
  </r>
  <r>
    <s v="EMP1084"/>
    <x v="2"/>
    <x v="5"/>
    <x v="2"/>
    <x v="63"/>
    <d v="2016-08-14T00:00:00"/>
    <x v="4"/>
    <x v="3"/>
    <s v="user47@example.com"/>
    <d v="2025-11-14T20:04:40"/>
  </r>
  <r>
    <s v="EMP1086"/>
    <x v="4"/>
    <x v="3"/>
    <x v="2"/>
    <x v="64"/>
    <d v="2016-08-28T00:00:00"/>
    <x v="4"/>
    <x v="2"/>
    <s v="user177@example.com"/>
    <d v="2025-11-14T20:04:40"/>
  </r>
  <r>
    <s v="EMP1087"/>
    <x v="5"/>
    <x v="0"/>
    <x v="0"/>
    <x v="65"/>
    <d v="2016-09-04T00:00:00"/>
    <x v="4"/>
    <x v="2"/>
    <s v="user149@example.com"/>
    <d v="2025-11-14T20:04:40"/>
  </r>
  <r>
    <s v="EMP1089"/>
    <x v="3"/>
    <x v="4"/>
    <x v="4"/>
    <x v="66"/>
    <d v="2016-09-18T00:00:00"/>
    <x v="2"/>
    <x v="0"/>
    <s v="user149@example.com"/>
    <d v="2025-11-14T20:04:40"/>
  </r>
  <r>
    <s v="EMP1091"/>
    <x v="1"/>
    <x v="0"/>
    <x v="4"/>
    <x v="67"/>
    <d v="2016-10-02T00:00:00"/>
    <x v="0"/>
    <x v="2"/>
    <s v="user43@example.com"/>
    <d v="2025-11-14T20:04:40"/>
  </r>
  <r>
    <s v="EMP1093"/>
    <x v="1"/>
    <x v="4"/>
    <x v="1"/>
    <x v="68"/>
    <d v="2016-10-16T00:00:00"/>
    <x v="4"/>
    <x v="2"/>
    <s v="user102@example.com"/>
    <d v="2025-11-14T20:04:40"/>
  </r>
  <r>
    <s v="EMP1094"/>
    <x v="6"/>
    <x v="3"/>
    <x v="2"/>
    <x v="69"/>
    <d v="2016-10-23T00:00:00"/>
    <x v="2"/>
    <x v="3"/>
    <s v="user148@example.com"/>
    <d v="2025-11-14T20:04:40"/>
  </r>
  <r>
    <s v="EMP1095"/>
    <x v="1"/>
    <x v="1"/>
    <x v="4"/>
    <x v="70"/>
    <d v="2016-10-30T00:00:00"/>
    <x v="2"/>
    <x v="0"/>
    <s v="user155@example.com"/>
    <d v="2025-11-14T20:04:40"/>
  </r>
  <r>
    <s v="EMP1096"/>
    <x v="3"/>
    <x v="1"/>
    <x v="1"/>
    <x v="71"/>
    <d v="2016-11-06T00:00:00"/>
    <x v="2"/>
    <x v="1"/>
    <s v="user191@example.com"/>
    <d v="2025-11-14T20:04:40"/>
  </r>
  <r>
    <s v="EMP1097"/>
    <x v="5"/>
    <x v="0"/>
    <x v="0"/>
    <x v="72"/>
    <d v="2016-11-13T00:00:00"/>
    <x v="0"/>
    <x v="2"/>
    <s v="user113@example.com"/>
    <d v="2025-11-14T20:04:40"/>
  </r>
  <r>
    <s v="EMP1098"/>
    <x v="6"/>
    <x v="3"/>
    <x v="4"/>
    <x v="73"/>
    <d v="2016-11-20T00:00:00"/>
    <x v="2"/>
    <x v="2"/>
    <s v="user62@example.com"/>
    <d v="2025-11-14T20:04:40"/>
  </r>
  <r>
    <s v="EMP1099"/>
    <x v="0"/>
    <x v="5"/>
    <x v="1"/>
    <x v="74"/>
    <d v="2016-11-27T00:00:00"/>
    <x v="4"/>
    <x v="2"/>
    <s v="user76@example.com"/>
    <d v="2025-11-14T20:04:40"/>
  </r>
  <r>
    <s v="EMP1101"/>
    <x v="6"/>
    <x v="3"/>
    <x v="0"/>
    <x v="75"/>
    <d v="2016-12-11T00:00:00"/>
    <x v="2"/>
    <x v="2"/>
    <s v="user200@example.com"/>
    <d v="2025-11-14T20:04:40"/>
  </r>
  <r>
    <s v="EMP1102"/>
    <x v="1"/>
    <x v="0"/>
    <x v="0"/>
    <x v="76"/>
    <d v="2016-12-18T00:00:00"/>
    <x v="2"/>
    <x v="3"/>
    <s v="user54@example.com"/>
    <d v="2025-11-14T20:04:40"/>
  </r>
  <r>
    <s v="EMP1104"/>
    <x v="3"/>
    <x v="4"/>
    <x v="4"/>
    <x v="77"/>
    <d v="2017-01-01T00:00:00"/>
    <x v="0"/>
    <x v="1"/>
    <s v="user40@example.com"/>
    <d v="2025-11-14T20:04:40"/>
  </r>
  <r>
    <s v="EMP1107"/>
    <x v="5"/>
    <x v="5"/>
    <x v="4"/>
    <x v="78"/>
    <d v="2017-01-22T00:00:00"/>
    <x v="1"/>
    <x v="3"/>
    <s v="user128@example.com"/>
    <d v="2025-11-14T20:04:40"/>
  </r>
  <r>
    <s v="EMP1109"/>
    <x v="3"/>
    <x v="4"/>
    <x v="2"/>
    <x v="79"/>
    <d v="2017-02-05T00:00:00"/>
    <x v="0"/>
    <x v="3"/>
    <s v="user174@example.com"/>
    <d v="2025-11-14T20:04:40"/>
  </r>
  <r>
    <s v="EMP1110"/>
    <x v="4"/>
    <x v="2"/>
    <x v="2"/>
    <x v="80"/>
    <m/>
    <x v="1"/>
    <x v="3"/>
    <s v="user44@example.com"/>
    <d v="2025-11-14T20:04:40"/>
  </r>
  <r>
    <s v="EMP1111"/>
    <x v="4"/>
    <x v="3"/>
    <x v="1"/>
    <x v="81"/>
    <d v="2017-02-19T00:00:00"/>
    <x v="3"/>
    <x v="3"/>
    <s v="user192@example.com"/>
    <d v="2025-11-14T20:04:40"/>
  </r>
  <r>
    <s v="EMP1112"/>
    <x v="0"/>
    <x v="1"/>
    <x v="2"/>
    <x v="82"/>
    <d v="2017-02-26T00:00:00"/>
    <x v="2"/>
    <x v="0"/>
    <s v="user76@example.com"/>
    <d v="2025-11-14T20:04:40"/>
  </r>
  <r>
    <s v="EMP1113"/>
    <x v="1"/>
    <x v="3"/>
    <x v="1"/>
    <x v="83"/>
    <d v="2017-03-05T00:00:00"/>
    <x v="0"/>
    <x v="2"/>
    <s v="user82@example.com"/>
    <d v="2025-11-14T20:04:40"/>
  </r>
  <r>
    <s v="EMP1114"/>
    <x v="0"/>
    <x v="5"/>
    <x v="3"/>
    <x v="84"/>
    <d v="2017-03-12T00:00:00"/>
    <x v="4"/>
    <x v="1"/>
    <s v="user97@example.com"/>
    <d v="2025-11-14T20:04:40"/>
  </r>
  <r>
    <s v="EMP1115"/>
    <x v="6"/>
    <x v="0"/>
    <x v="0"/>
    <x v="85"/>
    <d v="2017-03-19T00:00:00"/>
    <x v="4"/>
    <x v="3"/>
    <s v="user149@example.com"/>
    <d v="2025-11-14T20:04:40"/>
  </r>
  <r>
    <s v="EMP1116"/>
    <x v="6"/>
    <x v="5"/>
    <x v="4"/>
    <x v="86"/>
    <d v="2017-03-26T00:00:00"/>
    <x v="3"/>
    <x v="3"/>
    <s v="user192@example.com"/>
    <d v="2025-11-14T20:04:40"/>
  </r>
  <r>
    <s v="EMP1118"/>
    <x v="4"/>
    <x v="2"/>
    <x v="2"/>
    <x v="87"/>
    <d v="2017-04-09T00:00:00"/>
    <x v="2"/>
    <x v="1"/>
    <s v="user23@example.com"/>
    <d v="2025-11-14T20:04:40"/>
  </r>
  <r>
    <s v="EMP1119"/>
    <x v="0"/>
    <x v="2"/>
    <x v="4"/>
    <x v="88"/>
    <d v="2017-04-16T00:00:00"/>
    <x v="2"/>
    <x v="3"/>
    <s v="user200@example.com"/>
    <d v="2025-11-14T20:04:40"/>
  </r>
  <r>
    <s v="EMP1121"/>
    <x v="4"/>
    <x v="2"/>
    <x v="1"/>
    <x v="89"/>
    <d v="2017-04-30T00:00:00"/>
    <x v="1"/>
    <x v="1"/>
    <s v="user132@example.com"/>
    <d v="2025-11-14T20:04:40"/>
  </r>
  <r>
    <s v="EMP1122"/>
    <x v="6"/>
    <x v="2"/>
    <x v="0"/>
    <x v="90"/>
    <d v="2017-05-07T00:00:00"/>
    <x v="2"/>
    <x v="2"/>
    <s v="user171@example.com"/>
    <d v="2025-11-14T20:04:40"/>
  </r>
  <r>
    <s v="EMP1123"/>
    <x v="3"/>
    <x v="4"/>
    <x v="0"/>
    <x v="91"/>
    <d v="2017-05-14T00:00:00"/>
    <x v="3"/>
    <x v="2"/>
    <s v="user145@example.com"/>
    <d v="2025-11-14T20:04:40"/>
  </r>
  <r>
    <s v="EMP1125"/>
    <x v="2"/>
    <x v="1"/>
    <x v="5"/>
    <x v="92"/>
    <d v="2017-05-28T00:00:00"/>
    <x v="3"/>
    <x v="1"/>
    <s v="user52@example.com"/>
    <d v="2025-11-14T20:04:40"/>
  </r>
  <r>
    <s v="EMP1126"/>
    <x v="6"/>
    <x v="4"/>
    <x v="0"/>
    <x v="93"/>
    <d v="2017-06-04T00:00:00"/>
    <x v="2"/>
    <x v="2"/>
    <s v="user100@example.com"/>
    <d v="2025-11-14T20:04:40"/>
  </r>
  <r>
    <s v="EMP1127"/>
    <x v="2"/>
    <x v="1"/>
    <x v="1"/>
    <x v="94"/>
    <d v="2017-06-11T00:00:00"/>
    <x v="1"/>
    <x v="2"/>
    <s v="user83@example.com"/>
    <d v="2025-11-14T20:04:40"/>
  </r>
  <r>
    <s v="EMP1128"/>
    <x v="4"/>
    <x v="2"/>
    <x v="1"/>
    <x v="95"/>
    <d v="2017-06-18T00:00:00"/>
    <x v="0"/>
    <x v="1"/>
    <s v="user167@example.com"/>
    <d v="2025-11-14T20:04:40"/>
  </r>
  <r>
    <s v="EMP1129"/>
    <x v="6"/>
    <x v="4"/>
    <x v="3"/>
    <x v="96"/>
    <d v="2017-06-25T00:00:00"/>
    <x v="2"/>
    <x v="1"/>
    <s v="user175@example.com"/>
    <d v="2025-11-14T20:04:40"/>
  </r>
  <r>
    <s v="EMP1130"/>
    <x v="1"/>
    <x v="2"/>
    <x v="2"/>
    <x v="97"/>
    <m/>
    <x v="2"/>
    <x v="2"/>
    <s v="user25@example.com"/>
    <d v="2025-11-14T20:04:40"/>
  </r>
  <r>
    <s v="EMP1131"/>
    <x v="5"/>
    <x v="5"/>
    <x v="0"/>
    <x v="98"/>
    <d v="2017-07-09T00:00:00"/>
    <x v="2"/>
    <x v="0"/>
    <s v="user42@example.com"/>
    <d v="2025-11-14T20:04:40"/>
  </r>
  <r>
    <s v="EMP1132"/>
    <x v="0"/>
    <x v="0"/>
    <x v="1"/>
    <x v="99"/>
    <d v="2017-07-16T00:00:00"/>
    <x v="2"/>
    <x v="0"/>
    <s v="user188@example.com"/>
    <d v="2025-11-14T20:04:40"/>
  </r>
  <r>
    <s v="EMP1133"/>
    <x v="4"/>
    <x v="0"/>
    <x v="0"/>
    <x v="100"/>
    <d v="2017-07-23T00:00:00"/>
    <x v="2"/>
    <x v="1"/>
    <s v="user44@example.com"/>
    <d v="2025-11-14T20:04:40"/>
  </r>
  <r>
    <s v="EMP1134"/>
    <x v="0"/>
    <x v="5"/>
    <x v="2"/>
    <x v="101"/>
    <d v="2017-07-30T00:00:00"/>
    <x v="0"/>
    <x v="0"/>
    <s v="user63@example.com"/>
    <d v="2025-11-14T20:04:40"/>
  </r>
  <r>
    <s v="EMP1136"/>
    <x v="3"/>
    <x v="1"/>
    <x v="2"/>
    <x v="102"/>
    <d v="2017-08-13T00:00:00"/>
    <x v="4"/>
    <x v="0"/>
    <s v="user59@example.com"/>
    <d v="2025-11-14T20:04:40"/>
  </r>
  <r>
    <s v="EMP1137"/>
    <x v="4"/>
    <x v="0"/>
    <x v="0"/>
    <x v="103"/>
    <d v="2017-08-20T00:00:00"/>
    <x v="2"/>
    <x v="1"/>
    <s v="user165@example.com"/>
    <d v="2025-11-14T20:04:40"/>
  </r>
  <r>
    <s v="EMP1138"/>
    <x v="4"/>
    <x v="5"/>
    <x v="4"/>
    <x v="104"/>
    <d v="2017-08-27T00:00:00"/>
    <x v="4"/>
    <x v="3"/>
    <s v="user3@example.com"/>
    <d v="2025-11-14T20:04:40"/>
  </r>
  <r>
    <s v="EMP1141"/>
    <x v="3"/>
    <x v="5"/>
    <x v="1"/>
    <x v="105"/>
    <d v="2017-09-17T00:00:00"/>
    <x v="3"/>
    <x v="0"/>
    <s v="user103@example.com"/>
    <d v="2025-11-14T20:04:40"/>
  </r>
  <r>
    <s v="EMP1143"/>
    <x v="4"/>
    <x v="2"/>
    <x v="3"/>
    <x v="106"/>
    <d v="2017-10-01T00:00:00"/>
    <x v="2"/>
    <x v="1"/>
    <s v="user114@example.com"/>
    <d v="2025-11-14T20:04:40"/>
  </r>
  <r>
    <s v="EMP1145"/>
    <x v="5"/>
    <x v="2"/>
    <x v="4"/>
    <x v="107"/>
    <d v="2017-10-15T00:00:00"/>
    <x v="3"/>
    <x v="3"/>
    <s v="user188@example.com"/>
    <d v="2025-11-14T20:04:40"/>
  </r>
  <r>
    <s v="EMP1146"/>
    <x v="2"/>
    <x v="5"/>
    <x v="1"/>
    <x v="108"/>
    <d v="2017-10-22T00:00:00"/>
    <x v="1"/>
    <x v="1"/>
    <s v="user165@example.com"/>
    <d v="2025-11-14T20:04:40"/>
  </r>
  <r>
    <s v="EMP1147"/>
    <x v="6"/>
    <x v="2"/>
    <x v="4"/>
    <x v="109"/>
    <d v="2017-10-29T00:00:00"/>
    <x v="0"/>
    <x v="1"/>
    <s v="user163@example.com"/>
    <d v="2025-11-14T20:04:40"/>
  </r>
  <r>
    <s v="EMP1148"/>
    <x v="6"/>
    <x v="4"/>
    <x v="3"/>
    <x v="110"/>
    <d v="2017-11-05T00:00:00"/>
    <x v="0"/>
    <x v="0"/>
    <s v="user112@example.com"/>
    <d v="2025-11-14T20:04:40"/>
  </r>
  <r>
    <s v="EMP1149"/>
    <x v="5"/>
    <x v="5"/>
    <x v="2"/>
    <x v="111"/>
    <d v="2017-11-12T00:00:00"/>
    <x v="3"/>
    <x v="0"/>
    <s v="user30@example.com"/>
    <d v="2025-11-14T20:04: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D9C37-B9E2-4429-8CB4-473333E1F004}" name="PivotTable1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B9" firstHeaderRow="1" firstDataRow="1" firstDataCol="1"/>
  <pivotFields count="10">
    <pivotField compact="0" outline="0" showAll="0"/>
    <pivotField compact="0" outline="0" showAll="0">
      <items count="8">
        <item x="1"/>
        <item x="6"/>
        <item x="4"/>
        <item x="0"/>
        <item x="3"/>
        <item x="2"/>
        <item x="5"/>
        <item t="default"/>
      </items>
    </pivotField>
    <pivotField axis="axisRow" compact="0" outline="0" showAll="0">
      <items count="7">
        <item x="1"/>
        <item x="0"/>
        <item x="3"/>
        <item x="5"/>
        <item x="4"/>
        <item x="2"/>
        <item t="default"/>
      </items>
    </pivotField>
    <pivotField compact="0" outline="0" showAll="0">
      <items count="7">
        <item x="4"/>
        <item x="0"/>
        <item x="2"/>
        <item x="3"/>
        <item x="1"/>
        <item x="5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0" baseItem="0" numFmtId="164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C6B3A-D043-42AE-9447-DCF3AF1E198B}" name="PivotTable2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H10" firstHeaderRow="1" firstDataRow="2" firstDataCol="1"/>
  <pivotFields count="10">
    <pivotField compact="0" outline="0" showAll="0"/>
    <pivotField compact="0" outline="0" showAll="0"/>
    <pivotField axis="axisCol" compact="0" outline="0" showAll="0">
      <items count="7">
        <item x="1"/>
        <item x="0"/>
        <item x="3"/>
        <item x="5"/>
        <item x="4"/>
        <item x="2"/>
        <item t="default"/>
      </items>
    </pivotField>
    <pivotField axis="axisRow" compact="0" outline="0" showAll="0">
      <items count="7">
        <item x="4"/>
        <item x="0"/>
        <item x="2"/>
        <item x="3"/>
        <item x="1"/>
        <item x="5"/>
        <item t="default"/>
      </items>
    </pivotField>
    <pivotField dataField="1" compact="0" numFmtId="164" outline="0" showAll="0">
      <items count="113">
        <item x="91"/>
        <item x="95"/>
        <item x="34"/>
        <item x="80"/>
        <item x="42"/>
        <item x="69"/>
        <item x="36"/>
        <item x="46"/>
        <item x="64"/>
        <item x="28"/>
        <item x="81"/>
        <item x="98"/>
        <item x="30"/>
        <item x="107"/>
        <item x="15"/>
        <item x="44"/>
        <item x="14"/>
        <item x="99"/>
        <item x="66"/>
        <item x="86"/>
        <item x="35"/>
        <item x="55"/>
        <item x="11"/>
        <item x="18"/>
        <item x="49"/>
        <item x="76"/>
        <item x="61"/>
        <item x="88"/>
        <item x="84"/>
        <item x="63"/>
        <item x="89"/>
        <item x="100"/>
        <item x="83"/>
        <item x="27"/>
        <item x="97"/>
        <item x="19"/>
        <item x="90"/>
        <item x="26"/>
        <item x="16"/>
        <item x="0"/>
        <item x="24"/>
        <item x="65"/>
        <item x="53"/>
        <item x="108"/>
        <item x="32"/>
        <item x="39"/>
        <item x="102"/>
        <item x="77"/>
        <item x="48"/>
        <item x="9"/>
        <item x="101"/>
        <item x="96"/>
        <item x="1"/>
        <item x="3"/>
        <item x="7"/>
        <item x="29"/>
        <item x="109"/>
        <item x="59"/>
        <item x="75"/>
        <item x="105"/>
        <item x="110"/>
        <item x="13"/>
        <item x="57"/>
        <item x="67"/>
        <item x="51"/>
        <item x="74"/>
        <item x="73"/>
        <item x="93"/>
        <item x="71"/>
        <item x="12"/>
        <item x="38"/>
        <item x="37"/>
        <item x="68"/>
        <item x="17"/>
        <item x="50"/>
        <item x="58"/>
        <item x="82"/>
        <item x="4"/>
        <item x="33"/>
        <item x="23"/>
        <item x="41"/>
        <item x="45"/>
        <item x="104"/>
        <item x="103"/>
        <item x="52"/>
        <item x="78"/>
        <item x="79"/>
        <item x="72"/>
        <item x="25"/>
        <item x="92"/>
        <item x="10"/>
        <item x="54"/>
        <item x="8"/>
        <item x="106"/>
        <item x="6"/>
        <item x="94"/>
        <item x="21"/>
        <item x="85"/>
        <item x="31"/>
        <item x="20"/>
        <item x="56"/>
        <item x="2"/>
        <item x="87"/>
        <item x="22"/>
        <item x="60"/>
        <item x="70"/>
        <item x="47"/>
        <item x="40"/>
        <item x="5"/>
        <item x="43"/>
        <item x="111"/>
        <item x="6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ary" fld="4" baseField="0" baseItem="0" numFmtId="164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A5CE6-D90D-4A51-8766-FB56E1D7AD55}" name="PivotTable3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F10" firstHeaderRow="1" firstDataRow="2" firstDataCol="1"/>
  <pivotFields count="10">
    <pivotField compact="0" outline="0" showAll="0"/>
    <pivotField compact="0" outline="0" showAll="0"/>
    <pivotField compact="0" outline="0" showAll="0">
      <items count="7">
        <item x="1"/>
        <item x="0"/>
        <item x="3"/>
        <item x="5"/>
        <item x="4"/>
        <item x="2"/>
        <item t="default"/>
      </items>
    </pivotField>
    <pivotField axis="axisRow" compact="0" outline="0" showAll="0">
      <items count="7">
        <item x="4"/>
        <item x="0"/>
        <item x="2"/>
        <item x="3"/>
        <item x="1"/>
        <item x="5"/>
        <item t="default"/>
      </items>
    </pivotField>
    <pivotField compact="0" numFmtId="164" outline="0" showAll="0"/>
    <pivotField compact="0" outline="0" showAll="0"/>
    <pivotField compact="0" outline="0" showAll="0"/>
    <pivotField axis="axisCol" dataField="1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numFmtId="165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ender" fld="7" subtotal="count" baseField="0" baseItem="0"/>
  </dataFields>
  <chartFormats count="8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1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1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2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2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2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3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3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3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3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3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0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0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1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1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1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2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2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2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2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3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3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3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3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A83A8-406F-457B-A595-E361F67D8BE7}" name="PivotTable6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2:C9" firstHeaderRow="0" firstDataRow="1" firstDataCol="1"/>
  <pivotFields count="10">
    <pivotField compact="0" outline="0" showAll="0"/>
    <pivotField axis="axisRow" compact="0" outline="0" showAll="0" sortType="descending">
      <items count="8">
        <item x="1"/>
        <item x="6"/>
        <item x="4"/>
        <item x="0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1"/>
        <item x="0"/>
        <item x="3"/>
        <item x="5"/>
        <item x="4"/>
        <item x="2"/>
        <item t="default"/>
      </items>
    </pivotField>
    <pivotField compact="0" outline="0" showAll="0"/>
    <pivotField dataField="1" compact="0" numFmtId="164" outline="0" showAll="0"/>
    <pivotField compact="0" outline="0" showAll="0"/>
    <pivotField dataField="1" compact="0" outline="0" showAll="0">
      <items count="6">
        <item h="1" x="0"/>
        <item h="1" x="1"/>
        <item h="1" x="2"/>
        <item h="1" x="4"/>
        <item x="3"/>
        <item t="default"/>
      </items>
    </pivotField>
    <pivotField compact="0" outline="0" showAll="0"/>
    <pivotField compact="0" outline="0" showAll="0"/>
    <pivotField compact="0" numFmtId="165" outline="0" showAll="0"/>
  </pivotFields>
  <rowFields count="1">
    <field x="1"/>
  </rowFields>
  <rowItems count="7">
    <i>
      <x v="6"/>
    </i>
    <i>
      <x v="3"/>
    </i>
    <i>
      <x v="1"/>
    </i>
    <i>
      <x v="2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4" baseField="0" baseItem="0" numFmtId="164"/>
    <dataField name="Average of Performance Rating" fld="6" subtotal="average" baseField="0" baseItem="0"/>
  </dataField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2F5E5-84E5-4FE6-9039-21345E4CDE55}" name="PivotTable4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9" firstHeaderRow="1" firstDataRow="1" firstDataCol="1"/>
  <pivotFields count="10">
    <pivotField compact="0" outline="0" showAll="0"/>
    <pivotField dataField="1" compact="0" outline="0" showAll="0"/>
    <pivotField compact="0" outline="0" showAll="0"/>
    <pivotField axis="axisRow" compact="0" outline="0" showAll="0">
      <items count="7">
        <item x="4"/>
        <item x="0"/>
        <item x="2"/>
        <item x="3"/>
        <item x="1"/>
        <item x="5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e" fld="1" subtotal="count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C3B2A-E36D-4772-ADD5-B4D6D1EC266B}" name="PivotTable5" cacheId="5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2:B10" firstHeaderRow="1" firstDataRow="1" firstDataCol="1"/>
  <pivotFields count="10">
    <pivotField compact="0" outline="0" showAll="0"/>
    <pivotField axis="axisRow" compact="0" outline="0" showAll="0">
      <items count="8">
        <item x="1"/>
        <item x="6"/>
        <item x="4"/>
        <item x="0"/>
        <item x="3"/>
        <item x="2"/>
        <item x="5"/>
        <item t="default"/>
      </items>
    </pivotField>
    <pivotField compact="0" outline="0" showAll="0"/>
    <pivotField compact="0" outline="0" showAll="0"/>
    <pivotField dataField="1" compact="0" numFmtId="164" outline="0" showAll="0">
      <items count="113">
        <item x="91"/>
        <item x="95"/>
        <item x="34"/>
        <item x="80"/>
        <item x="42"/>
        <item x="69"/>
        <item x="36"/>
        <item x="46"/>
        <item x="64"/>
        <item x="28"/>
        <item x="81"/>
        <item x="98"/>
        <item x="30"/>
        <item x="107"/>
        <item x="15"/>
        <item x="44"/>
        <item x="14"/>
        <item x="99"/>
        <item x="66"/>
        <item x="86"/>
        <item x="35"/>
        <item x="55"/>
        <item x="11"/>
        <item x="18"/>
        <item x="49"/>
        <item x="76"/>
        <item x="61"/>
        <item x="88"/>
        <item x="84"/>
        <item x="63"/>
        <item x="89"/>
        <item x="100"/>
        <item x="83"/>
        <item x="27"/>
        <item x="97"/>
        <item x="19"/>
        <item x="90"/>
        <item x="26"/>
        <item x="16"/>
        <item x="0"/>
        <item x="24"/>
        <item x="65"/>
        <item x="53"/>
        <item x="108"/>
        <item x="32"/>
        <item x="39"/>
        <item x="102"/>
        <item x="77"/>
        <item x="48"/>
        <item x="9"/>
        <item x="101"/>
        <item x="96"/>
        <item x="1"/>
        <item x="3"/>
        <item x="7"/>
        <item x="29"/>
        <item x="109"/>
        <item x="59"/>
        <item x="75"/>
        <item x="105"/>
        <item x="110"/>
        <item x="13"/>
        <item x="57"/>
        <item x="67"/>
        <item x="51"/>
        <item x="74"/>
        <item x="73"/>
        <item x="93"/>
        <item x="71"/>
        <item x="12"/>
        <item x="38"/>
        <item x="37"/>
        <item x="68"/>
        <item x="17"/>
        <item x="50"/>
        <item x="58"/>
        <item x="82"/>
        <item x="4"/>
        <item x="33"/>
        <item x="23"/>
        <item x="41"/>
        <item x="45"/>
        <item x="104"/>
        <item x="103"/>
        <item x="52"/>
        <item x="78"/>
        <item x="79"/>
        <item x="72"/>
        <item x="25"/>
        <item x="92"/>
        <item x="10"/>
        <item x="54"/>
        <item x="8"/>
        <item x="106"/>
        <item x="6"/>
        <item x="94"/>
        <item x="21"/>
        <item x="85"/>
        <item x="31"/>
        <item x="20"/>
        <item x="56"/>
        <item x="2"/>
        <item x="87"/>
        <item x="22"/>
        <item x="60"/>
        <item x="70"/>
        <item x="47"/>
        <item x="40"/>
        <item x="5"/>
        <item x="43"/>
        <item x="111"/>
        <item x="6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Salary" fld="4" subtotal="max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B723BB8D-22FC-40F1-B0C4-F560DC9A9F06}" sourceName="Department">
  <pivotTables>
    <pivotTable tabId="4" name="PivotTable2"/>
  </pivotTables>
  <data>
    <tabular pivotCacheId="1143144323">
      <items count="6">
        <i x="1" s="1"/>
        <i x="0" s="1"/>
        <i x="3" s="1"/>
        <i x="5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BE3064C3-657D-43ED-BA1B-9C8D2B5E5E30}" sourceName="Country">
  <pivotTables>
    <pivotTable tabId="4" name="PivotTable2"/>
    <pivotTable tabId="5" name="PivotTable3"/>
    <pivotTable tabId="3" name="PivotTable1"/>
  </pivotTables>
  <data>
    <tabular pivotCacheId="1143144323">
      <items count="6">
        <i x="4" s="1"/>
        <i x="0" s="1"/>
        <i x="2" s="1"/>
        <i x="3" s="1"/>
        <i x="1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ary" xr10:uid="{7B0EFF91-17D9-4AB5-8F73-4EB643562565}" sourceName="Salary">
  <pivotTables>
    <pivotTable tabId="4" name="PivotTable2"/>
  </pivotTables>
  <data>
    <tabular pivotCacheId="1143144323">
      <items count="112">
        <i x="91" s="1"/>
        <i x="95" s="1"/>
        <i x="34" s="1"/>
        <i x="80" s="1"/>
        <i x="42" s="1"/>
        <i x="69" s="1"/>
        <i x="36" s="1"/>
        <i x="46" s="1"/>
        <i x="64" s="1"/>
        <i x="28" s="1"/>
        <i x="81" s="1"/>
        <i x="98" s="1"/>
        <i x="30" s="1"/>
        <i x="107" s="1"/>
        <i x="15" s="1"/>
        <i x="44" s="1"/>
        <i x="14" s="1"/>
        <i x="99" s="1"/>
        <i x="66" s="1"/>
        <i x="86" s="1"/>
        <i x="35" s="1"/>
        <i x="55" s="1"/>
        <i x="11" s="1"/>
        <i x="18" s="1"/>
        <i x="49" s="1"/>
        <i x="76" s="1"/>
        <i x="61" s="1"/>
        <i x="88" s="1"/>
        <i x="84" s="1"/>
        <i x="63" s="1"/>
        <i x="89" s="1"/>
        <i x="100" s="1"/>
        <i x="83" s="1"/>
        <i x="27" s="1"/>
        <i x="97" s="1"/>
        <i x="19" s="1"/>
        <i x="90" s="1"/>
        <i x="26" s="1"/>
        <i x="16" s="1"/>
        <i x="0" s="1"/>
        <i x="24" s="1"/>
        <i x="65" s="1"/>
        <i x="53" s="1"/>
        <i x="108" s="1"/>
        <i x="32" s="1"/>
        <i x="39" s="1"/>
        <i x="102" s="1"/>
        <i x="77" s="1"/>
        <i x="48" s="1"/>
        <i x="9" s="1"/>
        <i x="101" s="1"/>
        <i x="96" s="1"/>
        <i x="1" s="1"/>
        <i x="3" s="1"/>
        <i x="7" s="1"/>
        <i x="29" s="1"/>
        <i x="109" s="1"/>
        <i x="59" s="1"/>
        <i x="75" s="1"/>
        <i x="105" s="1"/>
        <i x="110" s="1"/>
        <i x="13" s="1"/>
        <i x="57" s="1"/>
        <i x="67" s="1"/>
        <i x="51" s="1"/>
        <i x="74" s="1"/>
        <i x="73" s="1"/>
        <i x="93" s="1"/>
        <i x="71" s="1"/>
        <i x="12" s="1"/>
        <i x="38" s="1"/>
        <i x="37" s="1"/>
        <i x="68" s="1"/>
        <i x="17" s="1"/>
        <i x="50" s="1"/>
        <i x="58" s="1"/>
        <i x="82" s="1"/>
        <i x="4" s="1"/>
        <i x="33" s="1"/>
        <i x="23" s="1"/>
        <i x="41" s="1"/>
        <i x="45" s="1"/>
        <i x="104" s="1"/>
        <i x="103" s="1"/>
        <i x="52" s="1"/>
        <i x="78" s="1"/>
        <i x="79" s="1"/>
        <i x="72" s="1"/>
        <i x="25" s="1"/>
        <i x="92" s="1"/>
        <i x="10" s="1"/>
        <i x="54" s="1"/>
        <i x="8" s="1"/>
        <i x="106" s="1"/>
        <i x="6" s="1"/>
        <i x="94" s="1"/>
        <i x="21" s="1"/>
        <i x="85" s="1"/>
        <i x="31" s="1"/>
        <i x="20" s="1"/>
        <i x="56" s="1"/>
        <i x="2" s="1"/>
        <i x="87" s="1"/>
        <i x="22" s="1"/>
        <i x="60" s="1"/>
        <i x="70" s="1"/>
        <i x="47" s="1"/>
        <i x="40" s="1"/>
        <i x="5" s="1"/>
        <i x="43" s="1"/>
        <i x="111" s="1"/>
        <i x="6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ame" xr10:uid="{1A99D413-7A32-4FA1-BD5B-71AB364A8DCF}" sourceName="Name">
  <pivotTables>
    <pivotTable tabId="3" name="PivotTable1"/>
  </pivotTables>
  <data>
    <tabular pivotCacheId="1143144323">
      <items count="7">
        <i x="1" s="1"/>
        <i x="6" s="1"/>
        <i x="4" s="1"/>
        <i x="0" s="1"/>
        <i x="3" s="1"/>
        <i x="2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1" xr10:uid="{35FD94B0-98EC-4CB2-BEEA-35234BFA6B8F}" sourceName="Department">
  <pivotTables>
    <pivotTable tabId="3" name="PivotTable1"/>
  </pivotTables>
  <data>
    <tabular pivotCacheId="1143144323">
      <items count="6">
        <i x="1" s="1"/>
        <i x="0" s="1"/>
        <i x="3" s="1"/>
        <i x="5" s="1"/>
        <i x="4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2" xr10:uid="{A78151DF-09A3-49C3-99E9-97BDB75BDD44}" sourceName="Department">
  <pivotTables>
    <pivotTable tabId="5" name="PivotTable3"/>
  </pivotTables>
  <data>
    <tabular pivotCacheId="1143144323">
      <items count="6">
        <i x="1" s="1"/>
        <i x="0" s="1"/>
        <i x="3" s="1"/>
        <i x="5" s="1"/>
        <i x="4" s="1"/>
        <i x="2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3" xr10:uid="{301400BB-9BE3-4266-8791-6F4444410BB8}" sourceName="Department">
  <pivotTables>
    <pivotTable tabId="8" name="PivotTable6"/>
  </pivotTables>
  <data>
    <tabular pivotCacheId="1143144323">
      <items count="6">
        <i x="1" s="1"/>
        <i x="0" s="1"/>
        <i x="3" s="1"/>
        <i x="5" s="1"/>
        <i x="4" s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erformance_Rating" xr10:uid="{BE9DC9D1-12D0-4BCF-9B7D-139ADC3A552F}" sourceName="Performance Rating">
  <pivotTables>
    <pivotTable tabId="8" name="PivotTable6"/>
  </pivotTables>
  <data>
    <tabular pivotCacheId="1143144323">
      <items count="5">
        <i x="0"/>
        <i x="1"/>
        <i x="2"/>
        <i x="4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ame" xr10:uid="{3D0BD0A3-C418-43A0-8A19-CE7FCDC136EE}" cache="Slicer_Name" caption="Name" rowHeight="228600"/>
  <slicer name="Department 1" xr10:uid="{316E7CA5-0ABD-4C3D-9854-8E056021117F}" cache="Slicer_Department1" caption="Departmen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06519723-EFAA-4C52-8D81-1AA7857A32D5}" cache="Slicer_Department" caption="Department" rowHeight="228600"/>
  <slicer name="Country" xr10:uid="{FF2D4AB1-A656-4BF4-8E10-867A08ED8E91}" cache="Slicer_Country" caption="Country" rowHeight="228600"/>
  <slicer name="Salary" xr10:uid="{4334072D-473C-41E0-9511-AAF96C389B55}" cache="Slicer_Salary" caption="Salary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66D86CE9-598E-4B4C-8A5B-37B8FB68DB98}" cache="Slicer_Country" caption="Country" rowHeight="228600"/>
  <slicer name="Department 2" xr10:uid="{846E3D86-34DB-470F-846D-E41391042844}" cache="Slicer_Department2" caption="Department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3" xr10:uid="{96F1B758-27AF-4816-9357-8D6DAB8A1575}" cache="Slicer_Department3" caption="Department" rowHeight="228600"/>
  <slicer name="Performance Rating" xr10:uid="{9835167A-37BF-4D48-8644-A762A4C5884C}" cache="Slicer_Performance_Rating" caption="Performance Rating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75104-A734-44EE-B2B3-D54A1D7D1F0D}" name="Table1" displayName="Table1" ref="A1:J113" totalsRowShown="0" headerRowDxfId="19" dataDxfId="18" headerRowBorderDxfId="16" tableBorderDxfId="17" totalsRowBorderDxfId="15">
  <autoFilter ref="A1:J113" xr:uid="{F0D75104-A734-44EE-B2B3-D54A1D7D1F0D}"/>
  <tableColumns count="10">
    <tableColumn id="1" xr3:uid="{E4A0F204-436F-4E38-A672-125E0B2F7242}" name="Employee ID" dataDxfId="14"/>
    <tableColumn id="2" xr3:uid="{EB05501C-9D5A-4FFD-8A1D-5BD8B96CB953}" name="Name" dataDxfId="13"/>
    <tableColumn id="3" xr3:uid="{8B056764-F0D4-4C69-8D6F-DA6DE24118C9}" name="Department" dataDxfId="12"/>
    <tableColumn id="4" xr3:uid="{449F76A9-A1F2-4DC4-BA54-5C07CCDAA7E5}" name="Country" dataDxfId="11"/>
    <tableColumn id="6" xr3:uid="{E214F86E-60A8-4173-BDA4-C8571D6E71F8}" name="Date of Joining" dataDxfId="10"/>
    <tableColumn id="7" xr3:uid="{5E594A76-ADE8-4B39-BF34-2D9456EDBA1E}" name="Performance Rating" dataDxfId="9"/>
    <tableColumn id="8" xr3:uid="{B17E1B44-E94F-429A-B0C1-499A7BB92EC5}" name="Gender" dataDxfId="8"/>
    <tableColumn id="9" xr3:uid="{BCA0C104-7495-4BD0-9D52-912A546E904B}" name="Email" dataDxfId="7"/>
    <tableColumn id="13" xr3:uid="{F3E3AA29-262D-42FC-8397-5A5F41F37A16}" name="Date" dataDxfId="6">
      <calculatedColumnFormula>NOW()</calculatedColumnFormula>
    </tableColumn>
    <tableColumn id="10" xr3:uid="{721734DC-1A6F-48C6-A202-90921F63F312}" name="Salary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7D7870-93B5-477A-86C6-C2551E192EDD}" name="Table4" displayName="Table4" ref="A2:C25" totalsRowShown="0" headerRowDxfId="4" dataDxfId="3">
  <autoFilter ref="A2:C25" xr:uid="{037D7870-93B5-477A-86C6-C2551E192EDD}"/>
  <tableColumns count="3">
    <tableColumn id="1" xr3:uid="{323D29D4-79F2-4026-A7E4-A5D7EA1F1345}" name="WEEK-1" dataDxfId="2"/>
    <tableColumn id="2" xr3:uid="{E97D766F-E98C-4E52-AA18-CA7F86C30232}" name="Column1" dataDxfId="1"/>
    <tableColumn id="3" xr3:uid="{E8B86026-50D9-4D45-849A-0F2899107304}" name="Column2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5D804E-7A00-45A6-A2DC-1C8B09493818}" name="Table26" displayName="Table26" ref="I3:J20" totalsRowShown="0">
  <autoFilter ref="I3:J20" xr:uid="{F45D804E-7A00-45A6-A2DC-1C8B09493818}"/>
  <tableColumns count="2">
    <tableColumn id="1" xr3:uid="{81E9A526-301F-42BC-9F7C-9A5274242AE3}" name="Salary"/>
    <tableColumn id="2" xr3:uid="{8D563529-34DF-4815-9BC0-6E3281D9B3DD}" name="Column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815A0-DB49-4DDB-821E-25CAFE12BAB1}" name="Table37" displayName="Table37" ref="L3:M20" totalsRowShown="0">
  <autoFilter ref="L3:M20" xr:uid="{02A815A0-DB49-4DDB-821E-25CAFE12BAB1}"/>
  <tableColumns count="2">
    <tableColumn id="1" xr3:uid="{5D1FE5E1-18C2-4DB8-914A-D7CBBB2D3F2F}" name="Performance"/>
    <tableColumn id="2" xr3:uid="{7D1A2235-7860-4D37-9945-9C2C4B80B552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E62666-4A84-4F2B-A5DA-166ECB7AE40A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2CE323D0-7DE0-4589-A315-7F110D56849E}"/>
    <we:binding id="Input" type="matrix" appref="{378C63FF-4683-4BAF-8B7C-530EC00B2F94}"/>
    <we:binding id="Output" type="matrix" appref="{8BE266AE-E35D-4397-A86C-FD9C45FF895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workbookViewId="0">
      <selection activeCell="L11" sqref="L11"/>
    </sheetView>
  </sheetViews>
  <sheetFormatPr defaultRowHeight="15"/>
  <cols>
    <col min="1" max="1" width="16.85546875" customWidth="1"/>
    <col min="2" max="2" width="13.140625" customWidth="1"/>
    <col min="3" max="3" width="15.7109375" customWidth="1"/>
    <col min="4" max="4" width="11.7109375" customWidth="1"/>
    <col min="5" max="5" width="19.28515625" style="7" customWidth="1"/>
    <col min="6" max="6" width="20.85546875" bestFit="1" customWidth="1"/>
    <col min="7" max="7" width="13.85546875" customWidth="1"/>
    <col min="8" max="8" width="23.7109375" customWidth="1"/>
    <col min="9" max="9" width="22.5703125" style="7" customWidth="1"/>
    <col min="10" max="11" width="20.7109375" customWidth="1"/>
    <col min="12" max="12" width="24" customWidth="1"/>
    <col min="13" max="13" width="20.7109375" customWidth="1"/>
    <col min="14" max="14" width="16.28515625" customWidth="1"/>
    <col min="15" max="15" width="18.5703125" customWidth="1"/>
    <col min="16" max="16" width="20.7109375" customWidth="1"/>
    <col min="17" max="17" width="12.85546875" customWidth="1"/>
  </cols>
  <sheetData>
    <row r="1" spans="1:16">
      <c r="A1" s="29" t="s">
        <v>0</v>
      </c>
      <c r="B1" s="25" t="s">
        <v>1</v>
      </c>
      <c r="C1" s="25" t="s">
        <v>2</v>
      </c>
      <c r="D1" s="25" t="s">
        <v>3</v>
      </c>
      <c r="E1" s="26" t="s">
        <v>4</v>
      </c>
      <c r="F1" s="25" t="s">
        <v>5</v>
      </c>
      <c r="G1" s="25" t="s">
        <v>6</v>
      </c>
      <c r="H1" s="25" t="s">
        <v>7</v>
      </c>
      <c r="I1" s="26" t="s">
        <v>8</v>
      </c>
      <c r="J1" s="32" t="s">
        <v>9</v>
      </c>
      <c r="K1" s="17"/>
    </row>
    <row r="2" spans="1:16">
      <c r="A2" s="30" t="s">
        <v>10</v>
      </c>
      <c r="B2" s="22" t="s">
        <v>11</v>
      </c>
      <c r="C2" s="22" t="s">
        <v>12</v>
      </c>
      <c r="D2" s="22" t="s">
        <v>13</v>
      </c>
      <c r="E2" s="23">
        <v>42015</v>
      </c>
      <c r="F2" s="22">
        <v>1</v>
      </c>
      <c r="G2" s="22" t="s">
        <v>14</v>
      </c>
      <c r="H2" s="22" t="s">
        <v>15</v>
      </c>
      <c r="I2" s="24">
        <f t="shared" ref="I2:I33" ca="1" si="0">NOW()</f>
        <v>45976.44868321759</v>
      </c>
      <c r="J2" s="33">
        <v>54255</v>
      </c>
      <c r="K2" s="19"/>
      <c r="L2" s="20"/>
      <c r="N2" s="18"/>
    </row>
    <row r="3" spans="1:16">
      <c r="A3" s="30" t="s">
        <v>16</v>
      </c>
      <c r="B3" s="22" t="s">
        <v>17</v>
      </c>
      <c r="C3" s="22" t="s">
        <v>18</v>
      </c>
      <c r="D3" s="22" t="s">
        <v>13</v>
      </c>
      <c r="E3" s="23">
        <v>42022</v>
      </c>
      <c r="F3" s="22">
        <v>2</v>
      </c>
      <c r="G3" s="22" t="s">
        <v>19</v>
      </c>
      <c r="H3" s="22" t="s">
        <v>20</v>
      </c>
      <c r="I3" s="23">
        <f t="shared" ca="1" si="0"/>
        <v>45976.44868321759</v>
      </c>
      <c r="J3" s="33">
        <v>63184</v>
      </c>
      <c r="L3" s="39" t="s">
        <v>21</v>
      </c>
      <c r="M3" s="39"/>
      <c r="N3" s="39"/>
      <c r="O3" s="39"/>
      <c r="P3" s="39"/>
    </row>
    <row r="4" spans="1:16">
      <c r="A4" s="30" t="s">
        <v>22</v>
      </c>
      <c r="B4" s="22" t="s">
        <v>23</v>
      </c>
      <c r="C4" s="22" t="s">
        <v>24</v>
      </c>
      <c r="D4" s="22" t="s">
        <v>25</v>
      </c>
      <c r="E4" s="23">
        <v>42029</v>
      </c>
      <c r="F4" s="22">
        <v>1</v>
      </c>
      <c r="G4" s="22" t="s">
        <v>26</v>
      </c>
      <c r="H4" s="22" t="s">
        <v>27</v>
      </c>
      <c r="I4" s="23">
        <f t="shared" ca="1" si="0"/>
        <v>45976.44868321759</v>
      </c>
      <c r="J4" s="33">
        <v>94406</v>
      </c>
      <c r="L4" s="35"/>
      <c r="M4" s="35"/>
      <c r="N4" s="35"/>
      <c r="O4" s="35"/>
      <c r="P4" s="35"/>
    </row>
    <row r="5" spans="1:16">
      <c r="A5" s="30" t="s">
        <v>28</v>
      </c>
      <c r="B5" s="22" t="s">
        <v>29</v>
      </c>
      <c r="C5" s="22" t="s">
        <v>24</v>
      </c>
      <c r="D5" s="22" t="s">
        <v>13</v>
      </c>
      <c r="E5" s="23">
        <v>42036</v>
      </c>
      <c r="F5" s="22">
        <v>1</v>
      </c>
      <c r="G5" s="22" t="s">
        <v>26</v>
      </c>
      <c r="H5" s="22" t="s">
        <v>30</v>
      </c>
      <c r="I5" s="23">
        <f t="shared" ca="1" si="0"/>
        <v>45976.44868321759</v>
      </c>
      <c r="J5" s="33">
        <v>64120</v>
      </c>
      <c r="L5" s="36" t="s">
        <v>31</v>
      </c>
      <c r="M5" s="36"/>
      <c r="N5" s="36"/>
      <c r="O5" s="36"/>
      <c r="P5" s="36"/>
    </row>
    <row r="6" spans="1:16">
      <c r="A6" s="30" t="s">
        <v>32</v>
      </c>
      <c r="B6" s="22" t="s">
        <v>17</v>
      </c>
      <c r="C6" s="22" t="s">
        <v>33</v>
      </c>
      <c r="D6" s="22" t="s">
        <v>34</v>
      </c>
      <c r="E6" s="23">
        <v>42043</v>
      </c>
      <c r="F6" s="22">
        <v>2</v>
      </c>
      <c r="G6" s="22" t="s">
        <v>35</v>
      </c>
      <c r="H6" s="22" t="s">
        <v>36</v>
      </c>
      <c r="I6" s="23">
        <f t="shared" ca="1" si="0"/>
        <v>45976.44868321759</v>
      </c>
      <c r="J6" s="33">
        <v>78421</v>
      </c>
      <c r="L6" s="21"/>
      <c r="M6" s="21"/>
      <c r="N6" s="21"/>
      <c r="O6" s="21"/>
      <c r="P6" s="21"/>
    </row>
    <row r="7" spans="1:16">
      <c r="A7" s="30" t="s">
        <v>37</v>
      </c>
      <c r="B7" s="22" t="s">
        <v>17</v>
      </c>
      <c r="C7" s="22" t="s">
        <v>33</v>
      </c>
      <c r="D7" s="22" t="s">
        <v>13</v>
      </c>
      <c r="E7" s="23">
        <v>42064</v>
      </c>
      <c r="F7" s="22">
        <v>3</v>
      </c>
      <c r="G7" s="22" t="s">
        <v>35</v>
      </c>
      <c r="H7" s="22" t="s">
        <v>38</v>
      </c>
      <c r="I7" s="23">
        <f t="shared" ca="1" si="0"/>
        <v>45976.44868321759</v>
      </c>
      <c r="J7" s="33">
        <v>97881</v>
      </c>
      <c r="L7" s="37" t="s">
        <v>39</v>
      </c>
      <c r="M7" s="37"/>
      <c r="N7" s="37"/>
      <c r="O7" s="37"/>
      <c r="P7" s="37"/>
    </row>
    <row r="8" spans="1:16">
      <c r="A8" s="30" t="s">
        <v>40</v>
      </c>
      <c r="B8" s="22" t="s">
        <v>41</v>
      </c>
      <c r="C8" s="22" t="s">
        <v>12</v>
      </c>
      <c r="D8" s="22" t="s">
        <v>42</v>
      </c>
      <c r="E8" s="23">
        <v>42071</v>
      </c>
      <c r="F8" s="22">
        <v>3</v>
      </c>
      <c r="G8" s="22" t="s">
        <v>26</v>
      </c>
      <c r="H8" s="22" t="s">
        <v>43</v>
      </c>
      <c r="I8" s="23">
        <f t="shared" ca="1" si="0"/>
        <v>45976.44868321759</v>
      </c>
      <c r="J8" s="33">
        <v>91846</v>
      </c>
      <c r="L8" s="21"/>
      <c r="M8" s="21"/>
      <c r="N8" s="21"/>
      <c r="O8" s="21"/>
      <c r="P8" s="21"/>
    </row>
    <row r="9" spans="1:16">
      <c r="A9" s="30" t="s">
        <v>44</v>
      </c>
      <c r="B9" s="22" t="s">
        <v>45</v>
      </c>
      <c r="C9" s="22" t="s">
        <v>18</v>
      </c>
      <c r="D9" s="22" t="s">
        <v>42</v>
      </c>
      <c r="E9" s="23">
        <v>42078</v>
      </c>
      <c r="F9" s="22">
        <v>1</v>
      </c>
      <c r="G9" s="22" t="s">
        <v>35</v>
      </c>
      <c r="H9" s="22" t="s">
        <v>46</v>
      </c>
      <c r="I9" s="23">
        <f t="shared" ca="1" si="0"/>
        <v>45976.44868321759</v>
      </c>
      <c r="J9" s="33">
        <v>64247</v>
      </c>
      <c r="L9" s="38" t="s">
        <v>47</v>
      </c>
      <c r="M9" s="38"/>
      <c r="N9" s="38"/>
      <c r="O9" s="38"/>
      <c r="P9" s="38"/>
    </row>
    <row r="10" spans="1:16">
      <c r="A10" s="30" t="s">
        <v>48</v>
      </c>
      <c r="B10" s="22" t="s">
        <v>45</v>
      </c>
      <c r="C10" s="22" t="s">
        <v>33</v>
      </c>
      <c r="D10" s="22" t="s">
        <v>25</v>
      </c>
      <c r="E10" s="23">
        <v>42085</v>
      </c>
      <c r="F10" s="22">
        <v>5</v>
      </c>
      <c r="G10" s="22" t="s">
        <v>26</v>
      </c>
      <c r="H10" s="22" t="s">
        <v>49</v>
      </c>
      <c r="I10" s="23">
        <f t="shared" ca="1" si="0"/>
        <v>45976.44868321759</v>
      </c>
      <c r="J10" s="33">
        <v>91180</v>
      </c>
    </row>
    <row r="11" spans="1:16">
      <c r="A11" s="30" t="s">
        <v>50</v>
      </c>
      <c r="B11" s="22" t="s">
        <v>45</v>
      </c>
      <c r="C11" s="22" t="s">
        <v>51</v>
      </c>
      <c r="D11" s="22" t="s">
        <v>34</v>
      </c>
      <c r="E11" s="23">
        <v>42099</v>
      </c>
      <c r="F11" s="22">
        <v>4</v>
      </c>
      <c r="G11" s="22" t="s">
        <v>19</v>
      </c>
      <c r="H11" s="22" t="s">
        <v>52</v>
      </c>
      <c r="I11" s="23">
        <f t="shared" ca="1" si="0"/>
        <v>45976.44868321759</v>
      </c>
      <c r="J11" s="33">
        <v>62158</v>
      </c>
    </row>
    <row r="12" spans="1:16">
      <c r="A12" s="30" t="s">
        <v>53</v>
      </c>
      <c r="B12" s="22" t="s">
        <v>54</v>
      </c>
      <c r="C12" s="22" t="s">
        <v>51</v>
      </c>
      <c r="D12" s="22" t="s">
        <v>13</v>
      </c>
      <c r="E12" s="23">
        <v>42120</v>
      </c>
      <c r="F12" s="22">
        <v>3</v>
      </c>
      <c r="G12" s="22" t="s">
        <v>19</v>
      </c>
      <c r="H12" s="22" t="s">
        <v>55</v>
      </c>
      <c r="I12" s="23">
        <f t="shared" ca="1" si="0"/>
        <v>45976.44868321759</v>
      </c>
      <c r="J12" s="33">
        <v>90271</v>
      </c>
    </row>
    <row r="13" spans="1:16">
      <c r="A13" s="30" t="s">
        <v>56</v>
      </c>
      <c r="B13" s="22" t="s">
        <v>29</v>
      </c>
      <c r="C13" s="22" t="s">
        <v>18</v>
      </c>
      <c r="D13" s="22" t="s">
        <v>57</v>
      </c>
      <c r="E13" s="23">
        <v>42127</v>
      </c>
      <c r="F13" s="22">
        <v>1</v>
      </c>
      <c r="G13" s="22" t="s">
        <v>14</v>
      </c>
      <c r="H13" s="22" t="s">
        <v>58</v>
      </c>
      <c r="I13" s="23">
        <f t="shared" ca="1" si="0"/>
        <v>45976.44868321759</v>
      </c>
      <c r="J13" s="33">
        <v>41341</v>
      </c>
    </row>
    <row r="14" spans="1:16">
      <c r="A14" s="30" t="s">
        <v>59</v>
      </c>
      <c r="B14" s="22" t="s">
        <v>17</v>
      </c>
      <c r="C14" s="22" t="s">
        <v>18</v>
      </c>
      <c r="D14" s="22" t="s">
        <v>42</v>
      </c>
      <c r="E14" s="23">
        <v>42134</v>
      </c>
      <c r="F14" s="22">
        <v>3</v>
      </c>
      <c r="G14" s="22" t="s">
        <v>19</v>
      </c>
      <c r="H14" s="22" t="s">
        <v>60</v>
      </c>
      <c r="I14" s="23">
        <f t="shared" ca="1" si="0"/>
        <v>45976.44868321759</v>
      </c>
      <c r="J14" s="33">
        <v>73602</v>
      </c>
    </row>
    <row r="15" spans="1:16">
      <c r="A15" s="30" t="s">
        <v>61</v>
      </c>
      <c r="B15" s="22" t="s">
        <v>11</v>
      </c>
      <c r="C15" s="22" t="s">
        <v>51</v>
      </c>
      <c r="D15" s="22" t="s">
        <v>34</v>
      </c>
      <c r="E15" s="23">
        <v>42141</v>
      </c>
      <c r="F15" s="22">
        <v>5</v>
      </c>
      <c r="G15" s="22" t="s">
        <v>35</v>
      </c>
      <c r="H15" s="22" t="s">
        <v>62</v>
      </c>
      <c r="I15" s="23">
        <f t="shared" ca="1" si="0"/>
        <v>45976.44868321759</v>
      </c>
      <c r="J15" s="33">
        <v>67531</v>
      </c>
    </row>
    <row r="16" spans="1:16">
      <c r="A16" s="30" t="s">
        <v>63</v>
      </c>
      <c r="B16" s="22" t="s">
        <v>11</v>
      </c>
      <c r="C16" s="22" t="s">
        <v>18</v>
      </c>
      <c r="D16" s="22" t="s">
        <v>34</v>
      </c>
      <c r="E16" s="23">
        <v>42162</v>
      </c>
      <c r="F16" s="22">
        <v>5</v>
      </c>
      <c r="G16" s="22" t="s">
        <v>19</v>
      </c>
      <c r="H16" s="22" t="s">
        <v>64</v>
      </c>
      <c r="I16" s="23">
        <f t="shared" ca="1" si="0"/>
        <v>45976.44868321759</v>
      </c>
      <c r="J16" s="33">
        <v>38333</v>
      </c>
    </row>
    <row r="17" spans="1:12">
      <c r="A17" s="30" t="s">
        <v>65</v>
      </c>
      <c r="B17" s="22" t="s">
        <v>17</v>
      </c>
      <c r="C17" s="22" t="s">
        <v>66</v>
      </c>
      <c r="D17" s="22" t="s">
        <v>42</v>
      </c>
      <c r="E17" s="23">
        <v>42169</v>
      </c>
      <c r="F17" s="22">
        <v>3</v>
      </c>
      <c r="G17" s="22" t="s">
        <v>26</v>
      </c>
      <c r="H17" s="22" t="s">
        <v>67</v>
      </c>
      <c r="I17" s="23">
        <f t="shared" ca="1" si="0"/>
        <v>45976.44868321759</v>
      </c>
      <c r="J17" s="33">
        <v>36515</v>
      </c>
    </row>
    <row r="18" spans="1:12">
      <c r="A18" s="30" t="s">
        <v>68</v>
      </c>
      <c r="B18" s="22" t="s">
        <v>41</v>
      </c>
      <c r="C18" s="22" t="s">
        <v>51</v>
      </c>
      <c r="D18" s="22"/>
      <c r="E18" s="23">
        <v>42183</v>
      </c>
      <c r="F18" s="22">
        <v>3</v>
      </c>
      <c r="G18" s="22" t="s">
        <v>19</v>
      </c>
      <c r="H18" s="22" t="s">
        <v>69</v>
      </c>
      <c r="I18" s="23">
        <f t="shared" ca="1" si="0"/>
        <v>45976.44868321759</v>
      </c>
      <c r="J18" s="33">
        <v>52272</v>
      </c>
    </row>
    <row r="19" spans="1:12">
      <c r="A19" s="30" t="s">
        <v>70</v>
      </c>
      <c r="B19" s="22" t="s">
        <v>11</v>
      </c>
      <c r="C19" s="22" t="s">
        <v>24</v>
      </c>
      <c r="D19" s="22" t="s">
        <v>13</v>
      </c>
      <c r="E19" s="23">
        <v>42190</v>
      </c>
      <c r="F19" s="22">
        <v>2</v>
      </c>
      <c r="G19" s="22" t="s">
        <v>35</v>
      </c>
      <c r="H19" s="22" t="s">
        <v>71</v>
      </c>
      <c r="I19" s="23">
        <f t="shared" ca="1" si="0"/>
        <v>45976.44868321759</v>
      </c>
      <c r="J19" s="33">
        <v>76518</v>
      </c>
    </row>
    <row r="20" spans="1:12">
      <c r="A20" s="30" t="s">
        <v>72</v>
      </c>
      <c r="B20" s="22" t="s">
        <v>17</v>
      </c>
      <c r="C20" s="22" t="s">
        <v>33</v>
      </c>
      <c r="D20" s="22" t="s">
        <v>42</v>
      </c>
      <c r="E20" s="23">
        <v>42197</v>
      </c>
      <c r="F20" s="22">
        <v>3</v>
      </c>
      <c r="G20" s="22" t="s">
        <v>14</v>
      </c>
      <c r="H20" s="22" t="s">
        <v>73</v>
      </c>
      <c r="I20" s="23">
        <f t="shared" ca="1" si="0"/>
        <v>45976.44868321759</v>
      </c>
      <c r="J20" s="33">
        <v>41448</v>
      </c>
    </row>
    <row r="21" spans="1:12">
      <c r="A21" s="30" t="s">
        <v>74</v>
      </c>
      <c r="B21" s="22" t="s">
        <v>23</v>
      </c>
      <c r="C21" s="22" t="s">
        <v>12</v>
      </c>
      <c r="D21" s="22" t="s">
        <v>42</v>
      </c>
      <c r="E21" s="23">
        <v>42204</v>
      </c>
      <c r="F21" s="22">
        <v>2</v>
      </c>
      <c r="G21" s="22" t="s">
        <v>35</v>
      </c>
      <c r="H21" s="22" t="s">
        <v>75</v>
      </c>
      <c r="I21" s="23">
        <f t="shared" ca="1" si="0"/>
        <v>45976.44868321759</v>
      </c>
      <c r="J21" s="33">
        <v>49282</v>
      </c>
    </row>
    <row r="22" spans="1:12">
      <c r="A22" s="30" t="s">
        <v>76</v>
      </c>
      <c r="B22" s="22" t="s">
        <v>54</v>
      </c>
      <c r="C22" s="22" t="s">
        <v>66</v>
      </c>
      <c r="D22" s="22" t="s">
        <v>42</v>
      </c>
      <c r="E22" s="23">
        <v>42211</v>
      </c>
      <c r="F22" s="22">
        <v>5</v>
      </c>
      <c r="G22" s="22" t="s">
        <v>19</v>
      </c>
      <c r="H22" s="22" t="s">
        <v>77</v>
      </c>
      <c r="I22" s="23">
        <f t="shared" ca="1" si="0"/>
        <v>45976.44868321759</v>
      </c>
      <c r="J22" s="33">
        <v>92959</v>
      </c>
    </row>
    <row r="23" spans="1:12">
      <c r="A23" s="30" t="s">
        <v>78</v>
      </c>
      <c r="B23" s="22" t="s">
        <v>11</v>
      </c>
      <c r="C23" s="22" t="s">
        <v>12</v>
      </c>
      <c r="D23" s="22" t="s">
        <v>13</v>
      </c>
      <c r="E23" s="23">
        <v>42225</v>
      </c>
      <c r="F23" s="22">
        <v>3</v>
      </c>
      <c r="G23" s="22" t="s">
        <v>26</v>
      </c>
      <c r="H23" s="22" t="s">
        <v>79</v>
      </c>
      <c r="I23" s="23">
        <f t="shared" ca="1" si="0"/>
        <v>45976.44868321759</v>
      </c>
      <c r="J23" s="33">
        <v>92299</v>
      </c>
      <c r="L23" s="10"/>
    </row>
    <row r="24" spans="1:12">
      <c r="A24" s="30" t="s">
        <v>80</v>
      </c>
      <c r="B24" s="22" t="s">
        <v>41</v>
      </c>
      <c r="C24" s="22" t="s">
        <v>51</v>
      </c>
      <c r="D24" s="22" t="s">
        <v>25</v>
      </c>
      <c r="E24" s="23">
        <v>42239</v>
      </c>
      <c r="F24" s="22">
        <v>3</v>
      </c>
      <c r="G24" s="22" t="s">
        <v>26</v>
      </c>
      <c r="H24" s="22" t="s">
        <v>81</v>
      </c>
      <c r="I24" s="23">
        <f t="shared" ca="1" si="0"/>
        <v>45976.44868321759</v>
      </c>
      <c r="J24" s="33">
        <v>95367</v>
      </c>
    </row>
    <row r="25" spans="1:12">
      <c r="A25" s="30" t="s">
        <v>82</v>
      </c>
      <c r="B25" s="22" t="s">
        <v>23</v>
      </c>
      <c r="C25" s="22" t="s">
        <v>24</v>
      </c>
      <c r="D25" s="22" t="s">
        <v>57</v>
      </c>
      <c r="E25" s="23">
        <v>42246</v>
      </c>
      <c r="F25" s="22">
        <v>3</v>
      </c>
      <c r="G25" s="22" t="s">
        <v>19</v>
      </c>
      <c r="H25" s="22" t="s">
        <v>83</v>
      </c>
      <c r="I25" s="23">
        <f t="shared" ca="1" si="0"/>
        <v>45976.44868321759</v>
      </c>
      <c r="J25" s="33">
        <v>79549</v>
      </c>
    </row>
    <row r="26" spans="1:12">
      <c r="A26" s="30" t="s">
        <v>84</v>
      </c>
      <c r="B26" s="22" t="s">
        <v>17</v>
      </c>
      <c r="C26" s="22" t="s">
        <v>51</v>
      </c>
      <c r="D26" s="22" t="s">
        <v>42</v>
      </c>
      <c r="E26" s="23">
        <v>42253</v>
      </c>
      <c r="F26" s="22">
        <v>4</v>
      </c>
      <c r="G26" s="22" t="s">
        <v>26</v>
      </c>
      <c r="H26" s="22" t="s">
        <v>85</v>
      </c>
      <c r="I26" s="23">
        <f t="shared" ca="1" si="0"/>
        <v>45976.44868321759</v>
      </c>
      <c r="J26" s="33">
        <v>54463</v>
      </c>
    </row>
    <row r="27" spans="1:12">
      <c r="A27" s="30" t="s">
        <v>86</v>
      </c>
      <c r="B27" s="22" t="s">
        <v>17</v>
      </c>
      <c r="C27" s="22" t="s">
        <v>33</v>
      </c>
      <c r="D27" s="22" t="s">
        <v>25</v>
      </c>
      <c r="E27" s="23">
        <v>42260</v>
      </c>
      <c r="F27" s="22">
        <v>3</v>
      </c>
      <c r="G27" s="22" t="s">
        <v>35</v>
      </c>
      <c r="H27" s="22" t="s">
        <v>87</v>
      </c>
      <c r="I27" s="23">
        <f t="shared" ca="1" si="0"/>
        <v>45976.44868321759</v>
      </c>
      <c r="J27" s="33">
        <v>89781</v>
      </c>
    </row>
    <row r="28" spans="1:12">
      <c r="A28" s="30" t="s">
        <v>88</v>
      </c>
      <c r="B28" s="22" t="s">
        <v>23</v>
      </c>
      <c r="C28" s="22" t="s">
        <v>66</v>
      </c>
      <c r="D28" s="22" t="s">
        <v>42</v>
      </c>
      <c r="E28" s="23">
        <v>42274</v>
      </c>
      <c r="F28" s="22">
        <v>5</v>
      </c>
      <c r="G28" s="22" t="s">
        <v>19</v>
      </c>
      <c r="H28" s="22" t="s">
        <v>89</v>
      </c>
      <c r="I28" s="23">
        <f t="shared" ca="1" si="0"/>
        <v>45976.44868321759</v>
      </c>
      <c r="J28" s="33">
        <v>52093</v>
      </c>
    </row>
    <row r="29" spans="1:12">
      <c r="A29" s="30" t="s">
        <v>90</v>
      </c>
      <c r="B29" s="22" t="s">
        <v>41</v>
      </c>
      <c r="C29" s="22" t="s">
        <v>12</v>
      </c>
      <c r="D29" s="22" t="s">
        <v>42</v>
      </c>
      <c r="E29" s="23">
        <v>42281</v>
      </c>
      <c r="F29" s="22">
        <v>3</v>
      </c>
      <c r="G29" s="22" t="s">
        <v>19</v>
      </c>
      <c r="H29" s="22" t="s">
        <v>91</v>
      </c>
      <c r="I29" s="23">
        <f t="shared" ca="1" si="0"/>
        <v>45976.44868321759</v>
      </c>
      <c r="J29" s="33">
        <v>48224</v>
      </c>
    </row>
    <row r="30" spans="1:12">
      <c r="A30" s="30" t="s">
        <v>92</v>
      </c>
      <c r="B30" s="22" t="s">
        <v>17</v>
      </c>
      <c r="C30" s="22" t="s">
        <v>33</v>
      </c>
      <c r="D30" s="22" t="s">
        <v>13</v>
      </c>
      <c r="E30" s="23">
        <v>42295</v>
      </c>
      <c r="F30" s="22">
        <v>3</v>
      </c>
      <c r="G30" s="22" t="s">
        <v>19</v>
      </c>
      <c r="H30" s="22" t="s">
        <v>93</v>
      </c>
      <c r="I30" s="23">
        <f t="shared" ca="1" si="0"/>
        <v>45976.44868321759</v>
      </c>
      <c r="J30" s="33">
        <v>33956</v>
      </c>
    </row>
    <row r="31" spans="1:12">
      <c r="A31" s="30" t="s">
        <v>94</v>
      </c>
      <c r="B31" s="22" t="s">
        <v>54</v>
      </c>
      <c r="C31" s="22" t="s">
        <v>51</v>
      </c>
      <c r="D31" s="22" t="s">
        <v>57</v>
      </c>
      <c r="E31" s="23">
        <v>42302</v>
      </c>
      <c r="F31" s="22">
        <v>1</v>
      </c>
      <c r="G31" s="22" t="s">
        <v>35</v>
      </c>
      <c r="H31" s="22" t="s">
        <v>95</v>
      </c>
      <c r="I31" s="23">
        <f t="shared" ca="1" si="0"/>
        <v>45976.44868321759</v>
      </c>
      <c r="J31" s="33">
        <v>64913</v>
      </c>
    </row>
    <row r="32" spans="1:12">
      <c r="A32" s="30" t="s">
        <v>96</v>
      </c>
      <c r="B32" s="22" t="s">
        <v>17</v>
      </c>
      <c r="C32" s="22" t="s">
        <v>66</v>
      </c>
      <c r="D32" s="22" t="s">
        <v>57</v>
      </c>
      <c r="E32" s="23">
        <v>42309</v>
      </c>
      <c r="F32" s="22">
        <v>3</v>
      </c>
      <c r="G32" s="22" t="s">
        <v>35</v>
      </c>
      <c r="H32" s="22" t="s">
        <v>97</v>
      </c>
      <c r="I32" s="23">
        <f t="shared" ca="1" si="0"/>
        <v>45976.44868321759</v>
      </c>
      <c r="J32" s="33">
        <v>35326</v>
      </c>
    </row>
    <row r="33" spans="1:10">
      <c r="A33" s="30" t="s">
        <v>98</v>
      </c>
      <c r="B33" s="22" t="s">
        <v>41</v>
      </c>
      <c r="C33" s="22" t="s">
        <v>33</v>
      </c>
      <c r="D33" s="22" t="s">
        <v>13</v>
      </c>
      <c r="E33" s="23">
        <v>42330</v>
      </c>
      <c r="F33" s="22">
        <v>3</v>
      </c>
      <c r="G33" s="22" t="s">
        <v>14</v>
      </c>
      <c r="H33" s="22" t="s">
        <v>99</v>
      </c>
      <c r="I33" s="23">
        <f t="shared" ca="1" si="0"/>
        <v>45976.44868321759</v>
      </c>
      <c r="J33" s="33">
        <v>92701</v>
      </c>
    </row>
    <row r="34" spans="1:10">
      <c r="A34" s="30" t="s">
        <v>100</v>
      </c>
      <c r="B34" s="22" t="s">
        <v>41</v>
      </c>
      <c r="C34" s="22" t="s">
        <v>12</v>
      </c>
      <c r="D34" s="22" t="s">
        <v>34</v>
      </c>
      <c r="E34" s="23">
        <v>42337</v>
      </c>
      <c r="F34" s="22">
        <v>4</v>
      </c>
      <c r="G34" s="22" t="s">
        <v>19</v>
      </c>
      <c r="H34" s="22" t="s">
        <v>101</v>
      </c>
      <c r="I34" s="23">
        <f t="shared" ref="I34:I65" ca="1" si="1">NOW()</f>
        <v>45976.44868321759</v>
      </c>
      <c r="J34" s="33">
        <v>58245</v>
      </c>
    </row>
    <row r="35" spans="1:10">
      <c r="A35" s="30" t="s">
        <v>102</v>
      </c>
      <c r="B35" s="22" t="s">
        <v>11</v>
      </c>
      <c r="C35" s="22" t="s">
        <v>12</v>
      </c>
      <c r="D35" s="22" t="s">
        <v>13</v>
      </c>
      <c r="E35" s="23">
        <v>42351</v>
      </c>
      <c r="F35" s="22">
        <v>5</v>
      </c>
      <c r="G35" s="22" t="s">
        <v>35</v>
      </c>
      <c r="H35" s="22" t="s">
        <v>103</v>
      </c>
      <c r="I35" s="23">
        <f t="shared" ca="1" si="1"/>
        <v>45976.44868321759</v>
      </c>
      <c r="J35" s="33">
        <v>78720</v>
      </c>
    </row>
    <row r="36" spans="1:10">
      <c r="A36" s="30" t="s">
        <v>104</v>
      </c>
      <c r="B36" s="22" t="s">
        <v>41</v>
      </c>
      <c r="C36" s="22" t="s">
        <v>51</v>
      </c>
      <c r="D36" s="22"/>
      <c r="E36" s="23"/>
      <c r="F36" s="22">
        <v>2</v>
      </c>
      <c r="G36" s="22" t="s">
        <v>35</v>
      </c>
      <c r="H36" s="22" t="s">
        <v>105</v>
      </c>
      <c r="I36" s="23">
        <f t="shared" ca="1" si="1"/>
        <v>45976.44868321759</v>
      </c>
      <c r="J36" s="33">
        <v>30686</v>
      </c>
    </row>
    <row r="37" spans="1:10">
      <c r="A37" s="30" t="s">
        <v>106</v>
      </c>
      <c r="B37" s="22" t="s">
        <v>45</v>
      </c>
      <c r="C37" s="22" t="s">
        <v>24</v>
      </c>
      <c r="D37" s="22" t="s">
        <v>34</v>
      </c>
      <c r="E37" s="23">
        <v>42365</v>
      </c>
      <c r="F37" s="22">
        <v>5</v>
      </c>
      <c r="G37" s="22" t="s">
        <v>19</v>
      </c>
      <c r="H37" s="22" t="s">
        <v>107</v>
      </c>
      <c r="I37" s="23">
        <f t="shared" ca="1" si="1"/>
        <v>45976.44868321759</v>
      </c>
      <c r="J37" s="33">
        <v>39423</v>
      </c>
    </row>
    <row r="38" spans="1:10">
      <c r="A38" s="30" t="s">
        <v>108</v>
      </c>
      <c r="B38" s="22" t="s">
        <v>11</v>
      </c>
      <c r="C38" s="22" t="s">
        <v>18</v>
      </c>
      <c r="D38" s="22" t="s">
        <v>42</v>
      </c>
      <c r="E38" s="23">
        <v>42379</v>
      </c>
      <c r="F38" s="22">
        <v>3</v>
      </c>
      <c r="G38" s="22" t="s">
        <v>35</v>
      </c>
      <c r="H38" s="22" t="s">
        <v>109</v>
      </c>
      <c r="I38" s="23">
        <f t="shared" ca="1" si="1"/>
        <v>45976.44868321759</v>
      </c>
      <c r="J38" s="33">
        <v>33352</v>
      </c>
    </row>
    <row r="39" spans="1:10">
      <c r="A39" s="30" t="s">
        <v>110</v>
      </c>
      <c r="B39" s="22" t="s">
        <v>54</v>
      </c>
      <c r="C39" s="22" t="s">
        <v>66</v>
      </c>
      <c r="D39" s="22" t="s">
        <v>42</v>
      </c>
      <c r="E39" s="23">
        <v>42386</v>
      </c>
      <c r="F39" s="22">
        <v>5</v>
      </c>
      <c r="G39" s="22" t="s">
        <v>14</v>
      </c>
      <c r="H39" s="22" t="s">
        <v>111</v>
      </c>
      <c r="I39" s="23">
        <f t="shared" ca="1" si="1"/>
        <v>45976.44868321759</v>
      </c>
      <c r="J39" s="33">
        <v>75633</v>
      </c>
    </row>
    <row r="40" spans="1:10">
      <c r="A40" s="30" t="s">
        <v>112</v>
      </c>
      <c r="B40" s="22" t="s">
        <v>41</v>
      </c>
      <c r="C40" s="22" t="s">
        <v>51</v>
      </c>
      <c r="D40" s="22" t="s">
        <v>25</v>
      </c>
      <c r="E40" s="23">
        <v>42393</v>
      </c>
      <c r="F40" s="22">
        <v>5</v>
      </c>
      <c r="G40" s="22" t="s">
        <v>35</v>
      </c>
      <c r="H40" s="22" t="s">
        <v>113</v>
      </c>
      <c r="I40" s="23">
        <f t="shared" ca="1" si="1"/>
        <v>45976.44868321759</v>
      </c>
      <c r="J40" s="33">
        <v>74815</v>
      </c>
    </row>
    <row r="41" spans="1:10">
      <c r="A41" s="30" t="s">
        <v>114</v>
      </c>
      <c r="B41" s="22" t="s">
        <v>23</v>
      </c>
      <c r="C41" s="22" t="s">
        <v>24</v>
      </c>
      <c r="D41" s="22" t="s">
        <v>57</v>
      </c>
      <c r="E41" s="23">
        <v>42400</v>
      </c>
      <c r="F41" s="22">
        <v>1</v>
      </c>
      <c r="G41" s="22" t="s">
        <v>26</v>
      </c>
      <c r="H41" s="22" t="s">
        <v>115</v>
      </c>
      <c r="I41" s="23">
        <f t="shared" ca="1" si="1"/>
        <v>45976.44868321759</v>
      </c>
      <c r="J41" s="33">
        <v>60011</v>
      </c>
    </row>
    <row r="42" spans="1:10">
      <c r="A42" s="30" t="s">
        <v>116</v>
      </c>
      <c r="B42" s="22" t="s">
        <v>11</v>
      </c>
      <c r="C42" s="22" t="s">
        <v>51</v>
      </c>
      <c r="D42" s="22" t="s">
        <v>34</v>
      </c>
      <c r="E42" s="23">
        <v>42407</v>
      </c>
      <c r="F42" s="22">
        <v>3</v>
      </c>
      <c r="G42" s="22" t="s">
        <v>19</v>
      </c>
      <c r="H42" s="22" t="s">
        <v>73</v>
      </c>
      <c r="I42" s="23">
        <f t="shared" ca="1" si="1"/>
        <v>45976.44868321759</v>
      </c>
      <c r="J42" s="33">
        <v>96949</v>
      </c>
    </row>
    <row r="43" spans="1:10">
      <c r="A43" s="30" t="s">
        <v>117</v>
      </c>
      <c r="B43" s="22" t="s">
        <v>45</v>
      </c>
      <c r="C43" s="22" t="s">
        <v>18</v>
      </c>
      <c r="D43" s="22" t="s">
        <v>25</v>
      </c>
      <c r="E43" s="23">
        <v>42421</v>
      </c>
      <c r="F43" s="22">
        <v>1</v>
      </c>
      <c r="G43" s="22" t="s">
        <v>19</v>
      </c>
      <c r="H43" s="22" t="s">
        <v>118</v>
      </c>
      <c r="I43" s="23">
        <f t="shared" ca="1" si="1"/>
        <v>45976.44868321759</v>
      </c>
      <c r="J43" s="33">
        <v>82033</v>
      </c>
    </row>
    <row r="44" spans="1:10">
      <c r="A44" s="30" t="s">
        <v>119</v>
      </c>
      <c r="B44" s="22" t="s">
        <v>11</v>
      </c>
      <c r="C44" s="22" t="s">
        <v>51</v>
      </c>
      <c r="D44" s="22" t="s">
        <v>57</v>
      </c>
      <c r="E44" s="23">
        <v>42435</v>
      </c>
      <c r="F44" s="22">
        <v>2</v>
      </c>
      <c r="G44" s="22" t="s">
        <v>19</v>
      </c>
      <c r="H44" s="22" t="s">
        <v>87</v>
      </c>
      <c r="I44" s="23">
        <f t="shared" ca="1" si="1"/>
        <v>45976.44868321759</v>
      </c>
      <c r="J44" s="33">
        <v>31499</v>
      </c>
    </row>
    <row r="45" spans="1:10">
      <c r="A45" s="30" t="s">
        <v>120</v>
      </c>
      <c r="B45" s="22" t="s">
        <v>41</v>
      </c>
      <c r="C45" s="22" t="s">
        <v>33</v>
      </c>
      <c r="D45" s="22" t="s">
        <v>42</v>
      </c>
      <c r="E45" s="23">
        <v>42442</v>
      </c>
      <c r="F45" s="22">
        <v>5</v>
      </c>
      <c r="G45" s="22" t="s">
        <v>35</v>
      </c>
      <c r="H45" s="22" t="s">
        <v>121</v>
      </c>
      <c r="I45" s="23">
        <f t="shared" ca="1" si="1"/>
        <v>45976.44868321759</v>
      </c>
      <c r="J45" s="33">
        <v>97981</v>
      </c>
    </row>
    <row r="46" spans="1:10">
      <c r="A46" s="30" t="s">
        <v>122</v>
      </c>
      <c r="B46" s="22" t="s">
        <v>11</v>
      </c>
      <c r="C46" s="22" t="s">
        <v>12</v>
      </c>
      <c r="D46" s="22" t="s">
        <v>25</v>
      </c>
      <c r="E46" s="23">
        <v>42449</v>
      </c>
      <c r="F46" s="22">
        <v>2</v>
      </c>
      <c r="G46" s="22" t="s">
        <v>14</v>
      </c>
      <c r="H46" s="22" t="s">
        <v>123</v>
      </c>
      <c r="I46" s="23">
        <f t="shared" ca="1" si="1"/>
        <v>45976.44868321759</v>
      </c>
      <c r="J46" s="33">
        <v>36541</v>
      </c>
    </row>
    <row r="47" spans="1:10">
      <c r="A47" s="30" t="s">
        <v>124</v>
      </c>
      <c r="B47" s="22" t="s">
        <v>23</v>
      </c>
      <c r="C47" s="22" t="s">
        <v>33</v>
      </c>
      <c r="D47" s="22" t="s">
        <v>34</v>
      </c>
      <c r="E47" s="23">
        <v>42456</v>
      </c>
      <c r="F47" s="22">
        <v>1</v>
      </c>
      <c r="G47" s="22" t="s">
        <v>26</v>
      </c>
      <c r="H47" s="22" t="s">
        <v>125</v>
      </c>
      <c r="I47" s="23">
        <f t="shared" ca="1" si="1"/>
        <v>45976.44868321759</v>
      </c>
      <c r="J47" s="33">
        <v>84737</v>
      </c>
    </row>
    <row r="48" spans="1:10">
      <c r="A48" s="30" t="s">
        <v>126</v>
      </c>
      <c r="B48" s="22" t="s">
        <v>45</v>
      </c>
      <c r="C48" s="22" t="s">
        <v>18</v>
      </c>
      <c r="D48" s="22" t="s">
        <v>34</v>
      </c>
      <c r="E48" s="23">
        <v>42463</v>
      </c>
      <c r="F48" s="22">
        <v>4</v>
      </c>
      <c r="G48" s="22" t="s">
        <v>26</v>
      </c>
      <c r="H48" s="22" t="s">
        <v>127</v>
      </c>
      <c r="I48" s="23">
        <f t="shared" ca="1" si="1"/>
        <v>45976.44868321759</v>
      </c>
      <c r="J48" s="33">
        <v>33468</v>
      </c>
    </row>
    <row r="49" spans="1:10">
      <c r="A49" s="30" t="s">
        <v>128</v>
      </c>
      <c r="B49" s="22" t="s">
        <v>45</v>
      </c>
      <c r="C49" s="22" t="s">
        <v>51</v>
      </c>
      <c r="D49" s="22" t="s">
        <v>57</v>
      </c>
      <c r="E49" s="23">
        <v>42470</v>
      </c>
      <c r="F49" s="22">
        <v>3</v>
      </c>
      <c r="G49" s="22" t="s">
        <v>14</v>
      </c>
      <c r="H49" s="22" t="s">
        <v>129</v>
      </c>
      <c r="I49" s="23">
        <f t="shared" ca="1" si="1"/>
        <v>45976.44868321759</v>
      </c>
      <c r="J49" s="33">
        <v>96365</v>
      </c>
    </row>
    <row r="50" spans="1:10">
      <c r="A50" s="30" t="s">
        <v>130</v>
      </c>
      <c r="B50" s="22" t="s">
        <v>17</v>
      </c>
      <c r="C50" s="22" t="s">
        <v>24</v>
      </c>
      <c r="D50" s="22" t="s">
        <v>34</v>
      </c>
      <c r="E50" s="23">
        <v>42477</v>
      </c>
      <c r="F50" s="22">
        <v>3</v>
      </c>
      <c r="G50" s="22" t="s">
        <v>35</v>
      </c>
      <c r="H50" s="22" t="s">
        <v>131</v>
      </c>
      <c r="I50" s="23">
        <f t="shared" ca="1" si="1"/>
        <v>45976.44868321759</v>
      </c>
      <c r="J50" s="33">
        <v>61942</v>
      </c>
    </row>
    <row r="51" spans="1:10">
      <c r="A51" s="30" t="s">
        <v>132</v>
      </c>
      <c r="B51" s="22" t="s">
        <v>45</v>
      </c>
      <c r="C51" s="22" t="s">
        <v>18</v>
      </c>
      <c r="D51" s="22" t="s">
        <v>42</v>
      </c>
      <c r="E51" s="23">
        <v>42484</v>
      </c>
      <c r="F51" s="22">
        <v>2</v>
      </c>
      <c r="G51" s="22" t="s">
        <v>19</v>
      </c>
      <c r="H51" s="22" t="s">
        <v>133</v>
      </c>
      <c r="I51" s="23">
        <f t="shared" ca="1" si="1"/>
        <v>45976.44868321759</v>
      </c>
      <c r="J51" s="33">
        <v>41467</v>
      </c>
    </row>
    <row r="52" spans="1:10">
      <c r="A52" s="30" t="s">
        <v>134</v>
      </c>
      <c r="B52" s="22" t="s">
        <v>54</v>
      </c>
      <c r="C52" s="22" t="s">
        <v>18</v>
      </c>
      <c r="D52" s="22" t="s">
        <v>34</v>
      </c>
      <c r="E52" s="23">
        <v>42491</v>
      </c>
      <c r="F52" s="22">
        <v>1</v>
      </c>
      <c r="G52" s="22" t="s">
        <v>19</v>
      </c>
      <c r="H52" s="22" t="s">
        <v>135</v>
      </c>
      <c r="I52" s="23">
        <f t="shared" ca="1" si="1"/>
        <v>45976.44868321759</v>
      </c>
      <c r="J52" s="33">
        <v>77096</v>
      </c>
    </row>
    <row r="53" spans="1:10">
      <c r="A53" s="30" t="s">
        <v>136</v>
      </c>
      <c r="B53" s="22" t="s">
        <v>11</v>
      </c>
      <c r="C53" s="22" t="s">
        <v>24</v>
      </c>
      <c r="D53" s="22" t="s">
        <v>57</v>
      </c>
      <c r="E53" s="23">
        <v>42498</v>
      </c>
      <c r="F53" s="22">
        <v>5</v>
      </c>
      <c r="G53" s="22" t="s">
        <v>35</v>
      </c>
      <c r="H53" s="22" t="s">
        <v>85</v>
      </c>
      <c r="I53" s="23">
        <f t="shared" ca="1" si="1"/>
        <v>45976.44868321759</v>
      </c>
      <c r="J53" s="33">
        <v>69952</v>
      </c>
    </row>
    <row r="54" spans="1:10">
      <c r="A54" s="30" t="s">
        <v>137</v>
      </c>
      <c r="B54" s="22" t="s">
        <v>11</v>
      </c>
      <c r="C54" s="22" t="s">
        <v>66</v>
      </c>
      <c r="D54" s="22" t="s">
        <v>25</v>
      </c>
      <c r="E54" s="23">
        <v>42505</v>
      </c>
      <c r="F54" s="22">
        <v>3</v>
      </c>
      <c r="G54" s="22" t="s">
        <v>19</v>
      </c>
      <c r="H54" s="22" t="s">
        <v>138</v>
      </c>
      <c r="I54" s="23">
        <f t="shared" ca="1" si="1"/>
        <v>45976.44868321759</v>
      </c>
      <c r="J54" s="33">
        <v>85065</v>
      </c>
    </row>
    <row r="55" spans="1:10">
      <c r="A55" s="30" t="s">
        <v>139</v>
      </c>
      <c r="B55" s="22" t="s">
        <v>54</v>
      </c>
      <c r="C55" s="22" t="s">
        <v>66</v>
      </c>
      <c r="D55" s="22" t="s">
        <v>34</v>
      </c>
      <c r="E55" s="23">
        <v>42512</v>
      </c>
      <c r="F55" s="22">
        <v>3</v>
      </c>
      <c r="G55" s="22" t="s">
        <v>14</v>
      </c>
      <c r="H55" s="22" t="s">
        <v>43</v>
      </c>
      <c r="I55" s="23">
        <f t="shared" ca="1" si="1"/>
        <v>45976.44868321759</v>
      </c>
      <c r="J55" s="33">
        <v>56512</v>
      </c>
    </row>
    <row r="56" spans="1:10">
      <c r="A56" s="30" t="s">
        <v>140</v>
      </c>
      <c r="B56" s="22" t="s">
        <v>23</v>
      </c>
      <c r="C56" s="22" t="s">
        <v>24</v>
      </c>
      <c r="D56" s="22" t="s">
        <v>34</v>
      </c>
      <c r="E56" s="23">
        <v>42519</v>
      </c>
      <c r="F56" s="22">
        <v>4</v>
      </c>
      <c r="G56" s="22" t="s">
        <v>35</v>
      </c>
      <c r="H56" s="22" t="s">
        <v>121</v>
      </c>
      <c r="I56" s="23">
        <f t="shared" ca="1" si="1"/>
        <v>45976.44868321759</v>
      </c>
      <c r="J56" s="33">
        <v>91101</v>
      </c>
    </row>
    <row r="57" spans="1:10">
      <c r="A57" s="30" t="s">
        <v>141</v>
      </c>
      <c r="B57" s="22" t="s">
        <v>45</v>
      </c>
      <c r="C57" s="22" t="s">
        <v>51</v>
      </c>
      <c r="D57" s="22" t="s">
        <v>13</v>
      </c>
      <c r="E57" s="23">
        <v>42526</v>
      </c>
      <c r="F57" s="22">
        <v>3</v>
      </c>
      <c r="G57" s="22" t="s">
        <v>19</v>
      </c>
      <c r="H57" s="22" t="s">
        <v>79</v>
      </c>
      <c r="I57" s="23">
        <f t="shared" ca="1" si="1"/>
        <v>45976.44868321759</v>
      </c>
      <c r="J57" s="33">
        <v>41243</v>
      </c>
    </row>
    <row r="58" spans="1:10">
      <c r="A58" s="30" t="s">
        <v>142</v>
      </c>
      <c r="B58" s="22" t="s">
        <v>11</v>
      </c>
      <c r="C58" s="22" t="s">
        <v>33</v>
      </c>
      <c r="D58" s="22" t="s">
        <v>34</v>
      </c>
      <c r="E58" s="23">
        <v>42540</v>
      </c>
      <c r="F58" s="22">
        <v>1</v>
      </c>
      <c r="G58" s="22" t="s">
        <v>26</v>
      </c>
      <c r="H58" s="22" t="s">
        <v>118</v>
      </c>
      <c r="I58" s="23">
        <f t="shared" ca="1" si="1"/>
        <v>45976.44868321759</v>
      </c>
      <c r="J58" s="33">
        <v>94301</v>
      </c>
    </row>
    <row r="59" spans="1:10">
      <c r="A59" s="30" t="s">
        <v>143</v>
      </c>
      <c r="B59" s="22" t="s">
        <v>29</v>
      </c>
      <c r="C59" s="22" t="s">
        <v>51</v>
      </c>
      <c r="D59" s="22" t="s">
        <v>42</v>
      </c>
      <c r="E59" s="23">
        <v>42547</v>
      </c>
      <c r="F59" s="22">
        <v>1</v>
      </c>
      <c r="G59" s="22" t="s">
        <v>35</v>
      </c>
      <c r="H59" s="22" t="s">
        <v>144</v>
      </c>
      <c r="I59" s="23">
        <f t="shared" ca="1" si="1"/>
        <v>45976.44868321759</v>
      </c>
      <c r="J59" s="33">
        <v>69166</v>
      </c>
    </row>
    <row r="60" spans="1:10">
      <c r="A60" s="30" t="s">
        <v>145</v>
      </c>
      <c r="B60" s="22" t="s">
        <v>45</v>
      </c>
      <c r="C60" s="22" t="s">
        <v>51</v>
      </c>
      <c r="D60" s="22" t="s">
        <v>42</v>
      </c>
      <c r="E60" s="23">
        <v>42554</v>
      </c>
      <c r="F60" s="22">
        <v>2</v>
      </c>
      <c r="G60" s="22" t="s">
        <v>19</v>
      </c>
      <c r="H60" s="22" t="s">
        <v>146</v>
      </c>
      <c r="I60" s="23">
        <f t="shared" ca="1" si="1"/>
        <v>45976.44868321759</v>
      </c>
      <c r="J60" s="33">
        <v>78245</v>
      </c>
    </row>
    <row r="61" spans="1:10">
      <c r="A61" s="30" t="s">
        <v>147</v>
      </c>
      <c r="B61" s="22" t="s">
        <v>41</v>
      </c>
      <c r="C61" s="22" t="s">
        <v>24</v>
      </c>
      <c r="D61" s="22" t="s">
        <v>25</v>
      </c>
      <c r="E61" s="23">
        <v>42561</v>
      </c>
      <c r="F61" s="22">
        <v>2</v>
      </c>
      <c r="G61" s="22" t="s">
        <v>14</v>
      </c>
      <c r="H61" s="22" t="s">
        <v>148</v>
      </c>
      <c r="I61" s="23">
        <f t="shared" ca="1" si="1"/>
        <v>45976.44868321759</v>
      </c>
      <c r="J61" s="33">
        <v>66079</v>
      </c>
    </row>
    <row r="62" spans="1:10">
      <c r="A62" s="30" t="s">
        <v>149</v>
      </c>
      <c r="B62" s="22" t="s">
        <v>29</v>
      </c>
      <c r="C62" s="22" t="s">
        <v>24</v>
      </c>
      <c r="D62" s="22" t="s">
        <v>25</v>
      </c>
      <c r="E62" s="23">
        <v>42575</v>
      </c>
      <c r="F62" s="22">
        <v>3</v>
      </c>
      <c r="G62" s="22" t="s">
        <v>35</v>
      </c>
      <c r="H62" s="22" t="s">
        <v>150</v>
      </c>
      <c r="I62" s="23">
        <f t="shared" ca="1" si="1"/>
        <v>45976.44868321759</v>
      </c>
      <c r="J62" s="33">
        <v>95621</v>
      </c>
    </row>
    <row r="63" spans="1:10">
      <c r="A63" s="30" t="s">
        <v>151</v>
      </c>
      <c r="B63" s="22" t="s">
        <v>11</v>
      </c>
      <c r="C63" s="22" t="s">
        <v>33</v>
      </c>
      <c r="D63" s="22" t="s">
        <v>42</v>
      </c>
      <c r="E63" s="23">
        <v>42582</v>
      </c>
      <c r="F63" s="22">
        <v>1</v>
      </c>
      <c r="G63" s="22" t="s">
        <v>19</v>
      </c>
      <c r="H63" s="22" t="s">
        <v>152</v>
      </c>
      <c r="I63" s="23">
        <f t="shared" ca="1" si="1"/>
        <v>45976.44868321759</v>
      </c>
      <c r="J63" s="33">
        <v>42262</v>
      </c>
    </row>
    <row r="64" spans="1:10">
      <c r="A64" s="30" t="s">
        <v>153</v>
      </c>
      <c r="B64" s="22" t="s">
        <v>45</v>
      </c>
      <c r="C64" s="22" t="s">
        <v>24</v>
      </c>
      <c r="D64" s="22" t="s">
        <v>34</v>
      </c>
      <c r="E64" s="23">
        <v>42589</v>
      </c>
      <c r="F64" s="22">
        <v>3</v>
      </c>
      <c r="G64" s="22" t="s">
        <v>14</v>
      </c>
      <c r="H64" s="22" t="s">
        <v>154</v>
      </c>
      <c r="I64" s="23">
        <f t="shared" ca="1" si="1"/>
        <v>45976.44868321759</v>
      </c>
      <c r="J64" s="33">
        <v>99621</v>
      </c>
    </row>
    <row r="65" spans="1:10">
      <c r="A65" s="30" t="s">
        <v>155</v>
      </c>
      <c r="B65" s="22" t="s">
        <v>23</v>
      </c>
      <c r="C65" s="22" t="s">
        <v>66</v>
      </c>
      <c r="D65" s="22" t="s">
        <v>34</v>
      </c>
      <c r="E65" s="23">
        <v>42596</v>
      </c>
      <c r="F65" s="22">
        <v>4</v>
      </c>
      <c r="G65" s="22" t="s">
        <v>35</v>
      </c>
      <c r="H65" s="22" t="s">
        <v>93</v>
      </c>
      <c r="I65" s="23">
        <f t="shared" ca="1" si="1"/>
        <v>45976.44868321759</v>
      </c>
      <c r="J65" s="33">
        <v>44682</v>
      </c>
    </row>
    <row r="66" spans="1:10">
      <c r="A66" s="30" t="s">
        <v>156</v>
      </c>
      <c r="B66" s="22" t="s">
        <v>41</v>
      </c>
      <c r="C66" s="22" t="s">
        <v>33</v>
      </c>
      <c r="D66" s="22" t="s">
        <v>34</v>
      </c>
      <c r="E66" s="23">
        <v>42610</v>
      </c>
      <c r="F66" s="22">
        <v>4</v>
      </c>
      <c r="G66" s="22" t="s">
        <v>26</v>
      </c>
      <c r="H66" s="22" t="s">
        <v>157</v>
      </c>
      <c r="I66" s="23">
        <f t="shared" ref="I66:I97" ca="1" si="2">NOW()</f>
        <v>45976.44868321759</v>
      </c>
      <c r="J66" s="33">
        <v>33483</v>
      </c>
    </row>
    <row r="67" spans="1:10">
      <c r="A67" s="30" t="s">
        <v>158</v>
      </c>
      <c r="B67" s="22" t="s">
        <v>45</v>
      </c>
      <c r="C67" s="22" t="s">
        <v>12</v>
      </c>
      <c r="D67" s="22" t="s">
        <v>13</v>
      </c>
      <c r="E67" s="23">
        <v>42617</v>
      </c>
      <c r="F67" s="22">
        <v>4</v>
      </c>
      <c r="G67" s="22" t="s">
        <v>26</v>
      </c>
      <c r="H67" s="22" t="s">
        <v>67</v>
      </c>
      <c r="I67" s="23">
        <f t="shared" ca="1" si="2"/>
        <v>45976.44868321759</v>
      </c>
      <c r="J67" s="33">
        <v>55303</v>
      </c>
    </row>
    <row r="68" spans="1:10">
      <c r="A68" s="30" t="s">
        <v>159</v>
      </c>
      <c r="B68" s="22" t="s">
        <v>29</v>
      </c>
      <c r="C68" s="22" t="s">
        <v>51</v>
      </c>
      <c r="D68" s="22" t="s">
        <v>57</v>
      </c>
      <c r="E68" s="23">
        <v>42631</v>
      </c>
      <c r="F68" s="22">
        <v>3</v>
      </c>
      <c r="G68" s="22" t="s">
        <v>14</v>
      </c>
      <c r="H68" s="22" t="s">
        <v>67</v>
      </c>
      <c r="I68" s="23">
        <f t="shared" ca="1" si="2"/>
        <v>45976.44868321759</v>
      </c>
      <c r="J68" s="33">
        <v>38830</v>
      </c>
    </row>
    <row r="69" spans="1:10">
      <c r="A69" s="30" t="s">
        <v>160</v>
      </c>
      <c r="B69" s="22" t="s">
        <v>17</v>
      </c>
      <c r="C69" s="22" t="s">
        <v>12</v>
      </c>
      <c r="D69" s="22" t="s">
        <v>57</v>
      </c>
      <c r="E69" s="23">
        <v>42645</v>
      </c>
      <c r="F69" s="22">
        <v>1</v>
      </c>
      <c r="G69" s="22" t="s">
        <v>26</v>
      </c>
      <c r="H69" s="22" t="s">
        <v>101</v>
      </c>
      <c r="I69" s="23">
        <f t="shared" ca="1" si="2"/>
        <v>45976.44868321759</v>
      </c>
      <c r="J69" s="33">
        <v>69420</v>
      </c>
    </row>
    <row r="70" spans="1:10">
      <c r="A70" s="30" t="s">
        <v>161</v>
      </c>
      <c r="B70" s="22" t="s">
        <v>17</v>
      </c>
      <c r="C70" s="22" t="s">
        <v>51</v>
      </c>
      <c r="D70" s="22" t="s">
        <v>25</v>
      </c>
      <c r="E70" s="23">
        <v>42659</v>
      </c>
      <c r="F70" s="22">
        <v>4</v>
      </c>
      <c r="G70" s="22" t="s">
        <v>26</v>
      </c>
      <c r="H70" s="22" t="s">
        <v>162</v>
      </c>
      <c r="I70" s="23">
        <f t="shared" ca="1" si="2"/>
        <v>45976.44868321759</v>
      </c>
      <c r="J70" s="33">
        <v>76238</v>
      </c>
    </row>
    <row r="71" spans="1:10">
      <c r="A71" s="30" t="s">
        <v>163</v>
      </c>
      <c r="B71" s="22" t="s">
        <v>54</v>
      </c>
      <c r="C71" s="22" t="s">
        <v>33</v>
      </c>
      <c r="D71" s="22" t="s">
        <v>34</v>
      </c>
      <c r="E71" s="23">
        <v>42666</v>
      </c>
      <c r="F71" s="22">
        <v>3</v>
      </c>
      <c r="G71" s="22" t="s">
        <v>35</v>
      </c>
      <c r="H71" s="22" t="s">
        <v>164</v>
      </c>
      <c r="I71" s="23">
        <f t="shared" ca="1" si="2"/>
        <v>45976.44868321759</v>
      </c>
      <c r="J71" s="33">
        <v>33264</v>
      </c>
    </row>
    <row r="72" spans="1:10">
      <c r="A72" s="30" t="s">
        <v>165</v>
      </c>
      <c r="B72" s="22" t="s">
        <v>17</v>
      </c>
      <c r="C72" s="22" t="s">
        <v>18</v>
      </c>
      <c r="D72" s="22" t="s">
        <v>57</v>
      </c>
      <c r="E72" s="23">
        <v>42673</v>
      </c>
      <c r="F72" s="22">
        <v>3</v>
      </c>
      <c r="G72" s="22" t="s">
        <v>14</v>
      </c>
      <c r="H72" s="22" t="s">
        <v>166</v>
      </c>
      <c r="I72" s="23">
        <f t="shared" ca="1" si="2"/>
        <v>45976.44868321759</v>
      </c>
      <c r="J72" s="33">
        <v>96101</v>
      </c>
    </row>
    <row r="73" spans="1:10">
      <c r="A73" s="30" t="s">
        <v>167</v>
      </c>
      <c r="B73" s="22" t="s">
        <v>29</v>
      </c>
      <c r="C73" s="22" t="s">
        <v>18</v>
      </c>
      <c r="D73" s="22" t="s">
        <v>25</v>
      </c>
      <c r="E73" s="23">
        <v>42680</v>
      </c>
      <c r="F73" s="22">
        <v>3</v>
      </c>
      <c r="G73" s="22" t="s">
        <v>19</v>
      </c>
      <c r="H73" s="22" t="s">
        <v>168</v>
      </c>
      <c r="I73" s="23">
        <f t="shared" ca="1" si="2"/>
        <v>45976.44868321759</v>
      </c>
      <c r="J73" s="33">
        <v>72939</v>
      </c>
    </row>
    <row r="74" spans="1:10">
      <c r="A74" s="30" t="s">
        <v>169</v>
      </c>
      <c r="B74" s="22" t="s">
        <v>45</v>
      </c>
      <c r="C74" s="22" t="s">
        <v>12</v>
      </c>
      <c r="D74" s="22" t="s">
        <v>13</v>
      </c>
      <c r="E74" s="23">
        <v>42687</v>
      </c>
      <c r="F74" s="22">
        <v>1</v>
      </c>
      <c r="G74" s="22" t="s">
        <v>26</v>
      </c>
      <c r="H74" s="22" t="s">
        <v>170</v>
      </c>
      <c r="I74" s="23">
        <f t="shared" ca="1" si="2"/>
        <v>45976.44868321759</v>
      </c>
      <c r="J74" s="33">
        <v>89333</v>
      </c>
    </row>
    <row r="75" spans="1:10">
      <c r="A75" s="30" t="s">
        <v>171</v>
      </c>
      <c r="B75" s="22" t="s">
        <v>54</v>
      </c>
      <c r="C75" s="22" t="s">
        <v>33</v>
      </c>
      <c r="D75" s="22" t="s">
        <v>57</v>
      </c>
      <c r="E75" s="23">
        <v>42694</v>
      </c>
      <c r="F75" s="22">
        <v>3</v>
      </c>
      <c r="G75" s="22" t="s">
        <v>26</v>
      </c>
      <c r="H75" s="22" t="s">
        <v>172</v>
      </c>
      <c r="I75" s="23">
        <f t="shared" ca="1" si="2"/>
        <v>45976.44868321759</v>
      </c>
      <c r="J75" s="33">
        <v>70470</v>
      </c>
    </row>
    <row r="76" spans="1:10">
      <c r="A76" s="30" t="s">
        <v>173</v>
      </c>
      <c r="B76" s="22" t="s">
        <v>11</v>
      </c>
      <c r="C76" s="22" t="s">
        <v>66</v>
      </c>
      <c r="D76" s="22" t="s">
        <v>25</v>
      </c>
      <c r="E76" s="23">
        <v>42701</v>
      </c>
      <c r="F76" s="22">
        <v>4</v>
      </c>
      <c r="G76" s="22" t="s">
        <v>26</v>
      </c>
      <c r="H76" s="22" t="s">
        <v>174</v>
      </c>
      <c r="I76" s="23">
        <f t="shared" ca="1" si="2"/>
        <v>45976.44868321759</v>
      </c>
      <c r="J76" s="33">
        <v>70096</v>
      </c>
    </row>
    <row r="77" spans="1:10">
      <c r="A77" s="30" t="s">
        <v>175</v>
      </c>
      <c r="B77" s="22" t="s">
        <v>54</v>
      </c>
      <c r="C77" s="22" t="s">
        <v>33</v>
      </c>
      <c r="D77" s="22" t="s">
        <v>13</v>
      </c>
      <c r="E77" s="23">
        <v>42715</v>
      </c>
      <c r="F77" s="22">
        <v>3</v>
      </c>
      <c r="G77" s="22" t="s">
        <v>26</v>
      </c>
      <c r="H77" s="22" t="s">
        <v>109</v>
      </c>
      <c r="I77" s="23">
        <f t="shared" ca="1" si="2"/>
        <v>45976.44868321759</v>
      </c>
      <c r="J77" s="33">
        <v>66503</v>
      </c>
    </row>
    <row r="78" spans="1:10">
      <c r="A78" s="30" t="s">
        <v>176</v>
      </c>
      <c r="B78" s="22" t="s">
        <v>17</v>
      </c>
      <c r="C78" s="22" t="s">
        <v>12</v>
      </c>
      <c r="D78" s="22" t="s">
        <v>13</v>
      </c>
      <c r="E78" s="23">
        <v>42722</v>
      </c>
      <c r="F78" s="22">
        <v>3</v>
      </c>
      <c r="G78" s="22" t="s">
        <v>35</v>
      </c>
      <c r="H78" s="22" t="s">
        <v>177</v>
      </c>
      <c r="I78" s="23">
        <f t="shared" ca="1" si="2"/>
        <v>45976.44868321759</v>
      </c>
      <c r="J78" s="33">
        <v>42096</v>
      </c>
    </row>
    <row r="79" spans="1:10">
      <c r="A79" s="30" t="s">
        <v>178</v>
      </c>
      <c r="B79" s="22" t="s">
        <v>29</v>
      </c>
      <c r="C79" s="22" t="s">
        <v>51</v>
      </c>
      <c r="D79" s="22" t="s">
        <v>57</v>
      </c>
      <c r="E79" s="23">
        <v>42736</v>
      </c>
      <c r="F79" s="22">
        <v>1</v>
      </c>
      <c r="G79" s="22" t="s">
        <v>19</v>
      </c>
      <c r="H79" s="22" t="s">
        <v>179</v>
      </c>
      <c r="I79" s="23">
        <f t="shared" ca="1" si="2"/>
        <v>45976.44868321759</v>
      </c>
      <c r="J79" s="33">
        <v>61556</v>
      </c>
    </row>
    <row r="80" spans="1:10">
      <c r="A80" s="30" t="s">
        <v>180</v>
      </c>
      <c r="B80" s="22" t="s">
        <v>45</v>
      </c>
      <c r="C80" s="22" t="s">
        <v>66</v>
      </c>
      <c r="D80" s="22" t="s">
        <v>57</v>
      </c>
      <c r="E80" s="23">
        <v>42757</v>
      </c>
      <c r="F80" s="22">
        <v>2</v>
      </c>
      <c r="G80" s="22" t="s">
        <v>35</v>
      </c>
      <c r="H80" s="22" t="s">
        <v>64</v>
      </c>
      <c r="I80" s="23">
        <f t="shared" ca="1" si="2"/>
        <v>45976.44868321759</v>
      </c>
      <c r="J80" s="33">
        <v>86412</v>
      </c>
    </row>
    <row r="81" spans="1:10">
      <c r="A81" s="30" t="s">
        <v>181</v>
      </c>
      <c r="B81" s="22" t="s">
        <v>29</v>
      </c>
      <c r="C81" s="22" t="s">
        <v>51</v>
      </c>
      <c r="D81" s="22" t="s">
        <v>34</v>
      </c>
      <c r="E81" s="23">
        <v>42771</v>
      </c>
      <c r="F81" s="22">
        <v>1</v>
      </c>
      <c r="G81" s="22" t="s">
        <v>35</v>
      </c>
      <c r="H81" s="22" t="s">
        <v>182</v>
      </c>
      <c r="I81" s="23">
        <f t="shared" ca="1" si="2"/>
        <v>45976.44868321759</v>
      </c>
      <c r="J81" s="33">
        <v>88850</v>
      </c>
    </row>
    <row r="82" spans="1:10">
      <c r="A82" s="30" t="s">
        <v>183</v>
      </c>
      <c r="B82" s="22" t="s">
        <v>41</v>
      </c>
      <c r="C82" s="22" t="s">
        <v>24</v>
      </c>
      <c r="D82" s="22" t="s">
        <v>34</v>
      </c>
      <c r="E82" s="23"/>
      <c r="F82" s="22">
        <v>2</v>
      </c>
      <c r="G82" s="22" t="s">
        <v>35</v>
      </c>
      <c r="H82" s="22" t="s">
        <v>184</v>
      </c>
      <c r="I82" s="23">
        <f t="shared" ca="1" si="2"/>
        <v>45976.44868321759</v>
      </c>
      <c r="J82" s="33">
        <v>31293</v>
      </c>
    </row>
    <row r="83" spans="1:10">
      <c r="A83" s="30" t="s">
        <v>185</v>
      </c>
      <c r="B83" s="22" t="s">
        <v>41</v>
      </c>
      <c r="C83" s="22" t="s">
        <v>33</v>
      </c>
      <c r="D83" s="22" t="s">
        <v>25</v>
      </c>
      <c r="E83" s="23">
        <v>42785</v>
      </c>
      <c r="F83" s="22">
        <v>5</v>
      </c>
      <c r="G83" s="22" t="s">
        <v>35</v>
      </c>
      <c r="H83" s="22" t="s">
        <v>131</v>
      </c>
      <c r="I83" s="23">
        <f t="shared" ca="1" si="2"/>
        <v>45976.44868321759</v>
      </c>
      <c r="J83" s="33">
        <v>34306</v>
      </c>
    </row>
    <row r="84" spans="1:10">
      <c r="A84" s="30" t="s">
        <v>186</v>
      </c>
      <c r="B84" s="22" t="s">
        <v>11</v>
      </c>
      <c r="C84" s="22" t="s">
        <v>18</v>
      </c>
      <c r="D84" s="22" t="s">
        <v>34</v>
      </c>
      <c r="E84" s="23">
        <v>42792</v>
      </c>
      <c r="F84" s="22">
        <v>3</v>
      </c>
      <c r="G84" s="22" t="s">
        <v>14</v>
      </c>
      <c r="H84" s="22" t="s">
        <v>174</v>
      </c>
      <c r="I84" s="23">
        <f t="shared" ca="1" si="2"/>
        <v>45976.44868321759</v>
      </c>
      <c r="J84" s="33">
        <v>78330</v>
      </c>
    </row>
    <row r="85" spans="1:10">
      <c r="A85" s="30" t="s">
        <v>187</v>
      </c>
      <c r="B85" s="22" t="s">
        <v>17</v>
      </c>
      <c r="C85" s="22" t="s">
        <v>33</v>
      </c>
      <c r="D85" s="22" t="s">
        <v>25</v>
      </c>
      <c r="E85" s="23">
        <v>42799</v>
      </c>
      <c r="F85" s="22">
        <v>1</v>
      </c>
      <c r="G85" s="22" t="s">
        <v>26</v>
      </c>
      <c r="H85" s="22" t="s">
        <v>188</v>
      </c>
      <c r="I85" s="23">
        <f t="shared" ca="1" si="2"/>
        <v>45976.44868321759</v>
      </c>
      <c r="J85" s="33">
        <v>47653</v>
      </c>
    </row>
    <row r="86" spans="1:10">
      <c r="A86" s="30" t="s">
        <v>189</v>
      </c>
      <c r="B86" s="22" t="s">
        <v>11</v>
      </c>
      <c r="C86" s="22" t="s">
        <v>66</v>
      </c>
      <c r="D86" s="22" t="s">
        <v>42</v>
      </c>
      <c r="E86" s="23">
        <v>42806</v>
      </c>
      <c r="F86" s="22">
        <v>4</v>
      </c>
      <c r="G86" s="22" t="s">
        <v>19</v>
      </c>
      <c r="H86" s="22" t="s">
        <v>123</v>
      </c>
      <c r="I86" s="23">
        <f t="shared" ca="1" si="2"/>
        <v>45976.44868321759</v>
      </c>
      <c r="J86" s="33">
        <v>44627</v>
      </c>
    </row>
    <row r="87" spans="1:10">
      <c r="A87" s="30" t="s">
        <v>190</v>
      </c>
      <c r="B87" s="22" t="s">
        <v>54</v>
      </c>
      <c r="C87" s="22" t="s">
        <v>12</v>
      </c>
      <c r="D87" s="22" t="s">
        <v>13</v>
      </c>
      <c r="E87" s="23">
        <v>42813</v>
      </c>
      <c r="F87" s="22">
        <v>4</v>
      </c>
      <c r="G87" s="22" t="s">
        <v>35</v>
      </c>
      <c r="H87" s="22" t="s">
        <v>67</v>
      </c>
      <c r="I87" s="23">
        <f t="shared" ca="1" si="2"/>
        <v>45976.44868321759</v>
      </c>
      <c r="J87" s="33">
        <v>92343</v>
      </c>
    </row>
    <row r="88" spans="1:10">
      <c r="A88" s="30" t="s">
        <v>191</v>
      </c>
      <c r="B88" s="22" t="s">
        <v>54</v>
      </c>
      <c r="C88" s="22" t="s">
        <v>66</v>
      </c>
      <c r="D88" s="22" t="s">
        <v>57</v>
      </c>
      <c r="E88" s="23">
        <v>42820</v>
      </c>
      <c r="F88" s="22">
        <v>5</v>
      </c>
      <c r="G88" s="22" t="s">
        <v>35</v>
      </c>
      <c r="H88" s="22" t="s">
        <v>131</v>
      </c>
      <c r="I88" s="23">
        <f t="shared" ca="1" si="2"/>
        <v>45976.44868321759</v>
      </c>
      <c r="J88" s="33">
        <v>38837</v>
      </c>
    </row>
    <row r="89" spans="1:10">
      <c r="A89" s="30" t="s">
        <v>192</v>
      </c>
      <c r="B89" s="22" t="s">
        <v>41</v>
      </c>
      <c r="C89" s="22" t="s">
        <v>24</v>
      </c>
      <c r="D89" s="22" t="s">
        <v>34</v>
      </c>
      <c r="E89" s="23">
        <v>42834</v>
      </c>
      <c r="F89" s="22">
        <v>3</v>
      </c>
      <c r="G89" s="22" t="s">
        <v>19</v>
      </c>
      <c r="H89" s="22" t="s">
        <v>193</v>
      </c>
      <c r="I89" s="23">
        <f t="shared" ca="1" si="2"/>
        <v>45976.44868321759</v>
      </c>
      <c r="J89" s="33">
        <v>95032</v>
      </c>
    </row>
    <row r="90" spans="1:10">
      <c r="A90" s="30" t="s">
        <v>194</v>
      </c>
      <c r="B90" s="22" t="s">
        <v>11</v>
      </c>
      <c r="C90" s="22" t="s">
        <v>24</v>
      </c>
      <c r="D90" s="22" t="s">
        <v>57</v>
      </c>
      <c r="E90" s="23">
        <v>42841</v>
      </c>
      <c r="F90" s="22">
        <v>3</v>
      </c>
      <c r="G90" s="22" t="s">
        <v>35</v>
      </c>
      <c r="H90" s="22" t="s">
        <v>109</v>
      </c>
      <c r="I90" s="23">
        <f t="shared" ca="1" si="2"/>
        <v>45976.44868321759</v>
      </c>
      <c r="J90" s="33">
        <v>44358</v>
      </c>
    </row>
    <row r="91" spans="1:10">
      <c r="A91" s="30" t="s">
        <v>195</v>
      </c>
      <c r="B91" s="22" t="s">
        <v>41</v>
      </c>
      <c r="C91" s="22" t="s">
        <v>24</v>
      </c>
      <c r="D91" s="22" t="s">
        <v>25</v>
      </c>
      <c r="E91" s="23">
        <v>42855</v>
      </c>
      <c r="F91" s="22">
        <v>2</v>
      </c>
      <c r="G91" s="22" t="s">
        <v>19</v>
      </c>
      <c r="H91" s="22" t="s">
        <v>196</v>
      </c>
      <c r="I91" s="23">
        <f t="shared" ca="1" si="2"/>
        <v>45976.44868321759</v>
      </c>
      <c r="J91" s="33">
        <v>45676</v>
      </c>
    </row>
    <row r="92" spans="1:10">
      <c r="A92" s="30" t="s">
        <v>197</v>
      </c>
      <c r="B92" s="22" t="s">
        <v>54</v>
      </c>
      <c r="C92" s="22" t="s">
        <v>24</v>
      </c>
      <c r="D92" s="22" t="s">
        <v>13</v>
      </c>
      <c r="E92" s="23">
        <v>42862</v>
      </c>
      <c r="F92" s="22">
        <v>3</v>
      </c>
      <c r="G92" s="22" t="s">
        <v>26</v>
      </c>
      <c r="H92" s="22" t="s">
        <v>198</v>
      </c>
      <c r="I92" s="23">
        <f t="shared" ca="1" si="2"/>
        <v>45976.44868321759</v>
      </c>
      <c r="J92" s="33">
        <v>52036</v>
      </c>
    </row>
    <row r="93" spans="1:10">
      <c r="A93" s="30" t="s">
        <v>199</v>
      </c>
      <c r="B93" s="22" t="s">
        <v>29</v>
      </c>
      <c r="C93" s="22" t="s">
        <v>51</v>
      </c>
      <c r="D93" s="22" t="s">
        <v>13</v>
      </c>
      <c r="E93" s="23">
        <v>42869</v>
      </c>
      <c r="F93" s="22">
        <v>5</v>
      </c>
      <c r="G93" s="22" t="s">
        <v>26</v>
      </c>
      <c r="H93" s="22" t="s">
        <v>154</v>
      </c>
      <c r="I93" s="23">
        <f t="shared" ca="1" si="2"/>
        <v>45976.44868321759</v>
      </c>
      <c r="J93" s="33">
        <v>30357</v>
      </c>
    </row>
    <row r="94" spans="1:10">
      <c r="A94" s="30" t="s">
        <v>200</v>
      </c>
      <c r="B94" s="22" t="s">
        <v>23</v>
      </c>
      <c r="C94" s="22" t="s">
        <v>18</v>
      </c>
      <c r="D94" s="22"/>
      <c r="E94" s="23">
        <v>42883</v>
      </c>
      <c r="F94" s="22">
        <v>5</v>
      </c>
      <c r="G94" s="22" t="s">
        <v>19</v>
      </c>
      <c r="H94" s="22" t="s">
        <v>201</v>
      </c>
      <c r="I94" s="23">
        <f t="shared" ca="1" si="2"/>
        <v>45976.44868321759</v>
      </c>
      <c r="J94" s="33">
        <v>90019</v>
      </c>
    </row>
    <row r="95" spans="1:10">
      <c r="A95" s="30" t="s">
        <v>202</v>
      </c>
      <c r="B95" s="22" t="s">
        <v>54</v>
      </c>
      <c r="C95" s="22" t="s">
        <v>51</v>
      </c>
      <c r="D95" s="22" t="s">
        <v>13</v>
      </c>
      <c r="E95" s="23">
        <v>42890</v>
      </c>
      <c r="F95" s="22">
        <v>3</v>
      </c>
      <c r="G95" s="22" t="s">
        <v>26</v>
      </c>
      <c r="H95" s="22" t="s">
        <v>203</v>
      </c>
      <c r="I95" s="23">
        <f t="shared" ca="1" si="2"/>
        <v>45976.44868321759</v>
      </c>
      <c r="J95" s="33">
        <v>71494</v>
      </c>
    </row>
    <row r="96" spans="1:10">
      <c r="A96" s="30" t="s">
        <v>204</v>
      </c>
      <c r="B96" s="22" t="s">
        <v>23</v>
      </c>
      <c r="C96" s="22" t="s">
        <v>18</v>
      </c>
      <c r="D96" s="22" t="s">
        <v>25</v>
      </c>
      <c r="E96" s="23">
        <v>42897</v>
      </c>
      <c r="F96" s="22">
        <v>2</v>
      </c>
      <c r="G96" s="22" t="s">
        <v>26</v>
      </c>
      <c r="H96" s="22" t="s">
        <v>77</v>
      </c>
      <c r="I96" s="23">
        <f t="shared" ca="1" si="2"/>
        <v>45976.44868321759</v>
      </c>
      <c r="J96" s="33">
        <v>91953</v>
      </c>
    </row>
    <row r="97" spans="1:10">
      <c r="A97" s="30" t="s">
        <v>205</v>
      </c>
      <c r="B97" s="22" t="s">
        <v>41</v>
      </c>
      <c r="C97" s="22" t="s">
        <v>24</v>
      </c>
      <c r="D97" s="22" t="s">
        <v>25</v>
      </c>
      <c r="E97" s="23">
        <v>42904</v>
      </c>
      <c r="F97" s="22">
        <v>1</v>
      </c>
      <c r="G97" s="22" t="s">
        <v>19</v>
      </c>
      <c r="H97" s="22" t="s">
        <v>206</v>
      </c>
      <c r="I97" s="23">
        <f t="shared" ca="1" si="2"/>
        <v>45976.44868321759</v>
      </c>
      <c r="J97" s="33">
        <v>30402</v>
      </c>
    </row>
    <row r="98" spans="1:10">
      <c r="A98" s="30" t="s">
        <v>207</v>
      </c>
      <c r="B98" s="22" t="s">
        <v>54</v>
      </c>
      <c r="C98" s="22" t="s">
        <v>51</v>
      </c>
      <c r="D98" s="22" t="s">
        <v>42</v>
      </c>
      <c r="E98" s="23">
        <v>42911</v>
      </c>
      <c r="F98" s="22">
        <v>3</v>
      </c>
      <c r="G98" s="22" t="s">
        <v>19</v>
      </c>
      <c r="H98" s="22" t="s">
        <v>95</v>
      </c>
      <c r="I98" s="23">
        <f t="shared" ref="I98:I113" ca="1" si="3">NOW()</f>
        <v>45976.44868321759</v>
      </c>
      <c r="J98" s="33">
        <v>62994</v>
      </c>
    </row>
    <row r="99" spans="1:10">
      <c r="A99" s="30" t="s">
        <v>208</v>
      </c>
      <c r="B99" s="22" t="s">
        <v>17</v>
      </c>
      <c r="C99" s="22" t="s">
        <v>24</v>
      </c>
      <c r="D99" s="22" t="s">
        <v>34</v>
      </c>
      <c r="E99" s="23"/>
      <c r="F99" s="22">
        <v>3</v>
      </c>
      <c r="G99" s="22" t="s">
        <v>26</v>
      </c>
      <c r="H99" s="22" t="s">
        <v>38</v>
      </c>
      <c r="I99" s="23">
        <f t="shared" ca="1" si="3"/>
        <v>45976.44868321759</v>
      </c>
      <c r="J99" s="33">
        <v>48289</v>
      </c>
    </row>
    <row r="100" spans="1:10">
      <c r="A100" s="30" t="s">
        <v>209</v>
      </c>
      <c r="B100" s="22" t="s">
        <v>45</v>
      </c>
      <c r="C100" s="22" t="s">
        <v>66</v>
      </c>
      <c r="D100" s="22" t="s">
        <v>13</v>
      </c>
      <c r="E100" s="23">
        <v>42925</v>
      </c>
      <c r="F100" s="22">
        <v>3</v>
      </c>
      <c r="G100" s="22" t="s">
        <v>14</v>
      </c>
      <c r="H100" s="22" t="s">
        <v>91</v>
      </c>
      <c r="I100" s="23">
        <f t="shared" ca="1" si="3"/>
        <v>45976.44868321759</v>
      </c>
      <c r="J100" s="33">
        <v>34402</v>
      </c>
    </row>
    <row r="101" spans="1:10">
      <c r="A101" s="30" t="s">
        <v>210</v>
      </c>
      <c r="B101" s="22" t="s">
        <v>11</v>
      </c>
      <c r="C101" s="22" t="s">
        <v>12</v>
      </c>
      <c r="D101" s="22" t="s">
        <v>25</v>
      </c>
      <c r="E101" s="23">
        <v>42932</v>
      </c>
      <c r="F101" s="22">
        <v>3</v>
      </c>
      <c r="G101" s="22" t="s">
        <v>14</v>
      </c>
      <c r="H101" s="22" t="s">
        <v>211</v>
      </c>
      <c r="I101" s="23">
        <f t="shared" ca="1" si="3"/>
        <v>45976.44868321759</v>
      </c>
      <c r="J101" s="33">
        <v>38678</v>
      </c>
    </row>
    <row r="102" spans="1:10">
      <c r="A102" s="30" t="s">
        <v>212</v>
      </c>
      <c r="B102" s="22" t="s">
        <v>41</v>
      </c>
      <c r="C102" s="22" t="s">
        <v>12</v>
      </c>
      <c r="D102" s="22" t="s">
        <v>13</v>
      </c>
      <c r="E102" s="23">
        <v>42939</v>
      </c>
      <c r="F102" s="22">
        <v>3</v>
      </c>
      <c r="G102" s="22" t="s">
        <v>19</v>
      </c>
      <c r="H102" s="22" t="s">
        <v>184</v>
      </c>
      <c r="I102" s="23">
        <f t="shared" ca="1" si="3"/>
        <v>45976.44868321759</v>
      </c>
      <c r="J102" s="33">
        <v>45758</v>
      </c>
    </row>
    <row r="103" spans="1:10">
      <c r="A103" s="30" t="s">
        <v>213</v>
      </c>
      <c r="B103" s="22" t="s">
        <v>11</v>
      </c>
      <c r="C103" s="22" t="s">
        <v>66</v>
      </c>
      <c r="D103" s="22" t="s">
        <v>34</v>
      </c>
      <c r="E103" s="23">
        <v>42946</v>
      </c>
      <c r="F103" s="22">
        <v>1</v>
      </c>
      <c r="G103" s="22" t="s">
        <v>14</v>
      </c>
      <c r="H103" s="22" t="s">
        <v>115</v>
      </c>
      <c r="I103" s="23">
        <f t="shared" ca="1" si="3"/>
        <v>45976.44868321759</v>
      </c>
      <c r="J103" s="33">
        <v>62476</v>
      </c>
    </row>
    <row r="104" spans="1:10">
      <c r="A104" s="30" t="s">
        <v>214</v>
      </c>
      <c r="B104" s="22" t="s">
        <v>29</v>
      </c>
      <c r="C104" s="22" t="s">
        <v>18</v>
      </c>
      <c r="D104" s="22" t="s">
        <v>34</v>
      </c>
      <c r="E104" s="23">
        <v>42960</v>
      </c>
      <c r="F104" s="22">
        <v>4</v>
      </c>
      <c r="G104" s="22" t="s">
        <v>14</v>
      </c>
      <c r="H104" s="22" t="s">
        <v>107</v>
      </c>
      <c r="I104" s="23">
        <f t="shared" ca="1" si="3"/>
        <v>45976.44868321759</v>
      </c>
      <c r="J104" s="33">
        <v>60335</v>
      </c>
    </row>
    <row r="105" spans="1:10">
      <c r="A105" s="30" t="s">
        <v>215</v>
      </c>
      <c r="B105" s="22" t="s">
        <v>41</v>
      </c>
      <c r="C105" s="22" t="s">
        <v>12</v>
      </c>
      <c r="D105" s="22" t="s">
        <v>13</v>
      </c>
      <c r="E105" s="23">
        <v>42967</v>
      </c>
      <c r="F105" s="22">
        <v>3</v>
      </c>
      <c r="G105" s="22" t="s">
        <v>19</v>
      </c>
      <c r="H105" s="22" t="s">
        <v>216</v>
      </c>
      <c r="I105" s="23">
        <f t="shared" ca="1" si="3"/>
        <v>45976.44868321759</v>
      </c>
      <c r="J105" s="33">
        <v>84968</v>
      </c>
    </row>
    <row r="106" spans="1:10">
      <c r="A106" s="30" t="s">
        <v>217</v>
      </c>
      <c r="B106" s="22" t="s">
        <v>41</v>
      </c>
      <c r="C106" s="22" t="s">
        <v>66</v>
      </c>
      <c r="D106" s="22" t="s">
        <v>57</v>
      </c>
      <c r="E106" s="23">
        <v>42974</v>
      </c>
      <c r="F106" s="22">
        <v>4</v>
      </c>
      <c r="G106" s="22" t="s">
        <v>35</v>
      </c>
      <c r="H106" s="22" t="s">
        <v>218</v>
      </c>
      <c r="I106" s="23">
        <f t="shared" ca="1" si="3"/>
        <v>45976.44868321759</v>
      </c>
      <c r="J106" s="33">
        <v>84750</v>
      </c>
    </row>
    <row r="107" spans="1:10">
      <c r="A107" s="30" t="s">
        <v>219</v>
      </c>
      <c r="B107" s="22" t="s">
        <v>29</v>
      </c>
      <c r="C107" s="22" t="s">
        <v>66</v>
      </c>
      <c r="D107" s="22" t="s">
        <v>25</v>
      </c>
      <c r="E107" s="23">
        <v>42995</v>
      </c>
      <c r="F107" s="22">
        <v>5</v>
      </c>
      <c r="G107" s="22" t="s">
        <v>14</v>
      </c>
      <c r="H107" s="22" t="s">
        <v>73</v>
      </c>
      <c r="I107" s="23">
        <f t="shared" ca="1" si="3"/>
        <v>45976.44868321759</v>
      </c>
      <c r="J107" s="33">
        <v>66882</v>
      </c>
    </row>
    <row r="108" spans="1:10">
      <c r="A108" s="30" t="s">
        <v>220</v>
      </c>
      <c r="B108" s="22" t="s">
        <v>41</v>
      </c>
      <c r="C108" s="22" t="s">
        <v>24</v>
      </c>
      <c r="D108" s="22" t="s">
        <v>42</v>
      </c>
      <c r="E108" s="23">
        <v>43009</v>
      </c>
      <c r="F108" s="22">
        <v>3</v>
      </c>
      <c r="G108" s="22" t="s">
        <v>19</v>
      </c>
      <c r="H108" s="22" t="s">
        <v>221</v>
      </c>
      <c r="I108" s="23">
        <f t="shared" ca="1" si="3"/>
        <v>45976.44868321759</v>
      </c>
      <c r="J108" s="33">
        <v>91620</v>
      </c>
    </row>
    <row r="109" spans="1:10">
      <c r="A109" s="30" t="s">
        <v>222</v>
      </c>
      <c r="B109" s="22" t="s">
        <v>45</v>
      </c>
      <c r="C109" s="22" t="s">
        <v>24</v>
      </c>
      <c r="D109" s="22" t="s">
        <v>57</v>
      </c>
      <c r="E109" s="23">
        <v>43023</v>
      </c>
      <c r="F109" s="22">
        <v>5</v>
      </c>
      <c r="G109" s="22" t="s">
        <v>35</v>
      </c>
      <c r="H109" s="22" t="s">
        <v>211</v>
      </c>
      <c r="I109" s="23">
        <f t="shared" ca="1" si="3"/>
        <v>45976.44868321759</v>
      </c>
      <c r="J109" s="33">
        <v>35627</v>
      </c>
    </row>
    <row r="110" spans="1:10">
      <c r="A110" s="30" t="s">
        <v>223</v>
      </c>
      <c r="B110" s="22" t="s">
        <v>23</v>
      </c>
      <c r="C110" s="22" t="s">
        <v>66</v>
      </c>
      <c r="D110" s="22" t="s">
        <v>25</v>
      </c>
      <c r="E110" s="23">
        <v>43030</v>
      </c>
      <c r="F110" s="22">
        <v>2</v>
      </c>
      <c r="G110" s="22" t="s">
        <v>19</v>
      </c>
      <c r="H110" s="22" t="s">
        <v>216</v>
      </c>
      <c r="I110" s="23">
        <f t="shared" ca="1" si="3"/>
        <v>45976.44868321759</v>
      </c>
      <c r="J110" s="33">
        <v>57141</v>
      </c>
    </row>
    <row r="111" spans="1:10">
      <c r="A111" s="30" t="s">
        <v>224</v>
      </c>
      <c r="B111" s="22" t="s">
        <v>54</v>
      </c>
      <c r="C111" s="22" t="s">
        <v>24</v>
      </c>
      <c r="D111" s="22" t="s">
        <v>57</v>
      </c>
      <c r="E111" s="23">
        <v>43037</v>
      </c>
      <c r="F111" s="22">
        <v>1</v>
      </c>
      <c r="G111" s="22" t="s">
        <v>19</v>
      </c>
      <c r="H111" s="22" t="s">
        <v>225</v>
      </c>
      <c r="I111" s="23">
        <f t="shared" ca="1" si="3"/>
        <v>45976.44868321759</v>
      </c>
      <c r="J111" s="33">
        <v>65270</v>
      </c>
    </row>
    <row r="112" spans="1:10">
      <c r="A112" s="30" t="s">
        <v>226</v>
      </c>
      <c r="B112" s="22" t="s">
        <v>54</v>
      </c>
      <c r="C112" s="22" t="s">
        <v>51</v>
      </c>
      <c r="D112" s="22" t="s">
        <v>42</v>
      </c>
      <c r="E112" s="23">
        <v>43044</v>
      </c>
      <c r="F112" s="22">
        <v>1</v>
      </c>
      <c r="G112" s="22" t="s">
        <v>14</v>
      </c>
      <c r="H112" s="22" t="s">
        <v>227</v>
      </c>
      <c r="I112" s="23">
        <f t="shared" ca="1" si="3"/>
        <v>45976.44868321759</v>
      </c>
      <c r="J112" s="33">
        <v>67335</v>
      </c>
    </row>
    <row r="113" spans="1:10">
      <c r="A113" s="31" t="s">
        <v>228</v>
      </c>
      <c r="B113" s="27" t="s">
        <v>45</v>
      </c>
      <c r="C113" s="27" t="s">
        <v>66</v>
      </c>
      <c r="D113" s="27" t="s">
        <v>34</v>
      </c>
      <c r="E113" s="28">
        <v>43051</v>
      </c>
      <c r="F113" s="27">
        <v>5</v>
      </c>
      <c r="G113" s="27" t="s">
        <v>14</v>
      </c>
      <c r="H113" s="27" t="s">
        <v>229</v>
      </c>
      <c r="I113" s="28">
        <f t="shared" ca="1" si="3"/>
        <v>45976.44868321759</v>
      </c>
      <c r="J113" s="34">
        <v>98475</v>
      </c>
    </row>
  </sheetData>
  <mergeCells count="4">
    <mergeCell ref="L5:P5"/>
    <mergeCell ref="L7:P7"/>
    <mergeCell ref="L9:P9"/>
    <mergeCell ref="L3:P3"/>
  </mergeCells>
  <conditionalFormatting sqref="D1:D1048576">
    <cfRule type="containsBlanks" dxfId="23" priority="13">
      <formula>LEN(TRIM(D1))=0</formula>
    </cfRule>
  </conditionalFormatting>
  <conditionalFormatting sqref="E1:E1048576">
    <cfRule type="containsBlanks" dxfId="22" priority="12">
      <formula>LEN(TRIM(E1))=0</formula>
    </cfRule>
  </conditionalFormatting>
  <conditionalFormatting sqref="J1:J1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{4056E6AF-F57D-4FE6-B9F7-2375B947E9ED}</x14:id>
        </ext>
      </extLst>
    </cfRule>
  </conditionalFormatting>
  <conditionalFormatting sqref="J1:J113">
    <cfRule type="top10" dxfId="21" priority="2" bottom="1" rank="5"/>
  </conditionalFormatting>
  <conditionalFormatting sqref="J1:J113">
    <cfRule type="top10" dxfId="20" priority="1" rank="5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6E6AF-F57D-4FE6-B9F7-2375B947E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J1:J113</xm:sqref>
        </x14:conditionalFormatting>
      </x14:conditionalFormattings>
    </ext>
    <ext xmlns:x15="http://schemas.microsoft.com/office/spreadsheetml/2010/11/main" uri="{F7C9EE02-42E1-4005-9D12-6889AFFD525C}">
      <x15:webExtensions xmlns:xm="http://schemas.microsoft.com/office/excel/2006/main">
        <x15:webExtension appRef="{2BC6583D-7FF2-41D4-A033-ABA317100052}">
          <xm:f>'Main Data'!1:1048576</xm:f>
        </x15:webExtension>
        <x15:webExtension appRef="{F5C952F0-3A42-4F2B-819E-0D795B311593}">
          <xm:f>'Main Data'!$F$2:$F$107</xm:f>
        </x15:webExtension>
        <x15:webExtension appRef="{BFD1357B-EC16-46F8-A152-ECC00ABB9EA4}">
          <xm:f>'Main Data'!$N$2:$P$20</xm:f>
        </x15:webExtension>
        <x15:webExtension appRef="{2CE323D0-7DE0-4589-A315-7F110D56849E}">
          <xm:f>'Main Data'!1:1048576</xm:f>
        </x15:webExtension>
        <x15:webExtension appRef="{378C63FF-4683-4BAF-8B7C-530EC00B2F94}">
          <xm:f>'Main Data'!$F$2:$F$107</xm:f>
        </x15:webExtension>
        <x15:webExtension appRef="{8BE266AE-E35D-4397-A86C-FD9C45FF895D}">
          <xm:f>'Main Data'!$N$2:$P$20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706B-54DC-4137-8616-DCF12D2860D5}">
  <dimension ref="A2:M25"/>
  <sheetViews>
    <sheetView workbookViewId="0">
      <selection activeCell="N13" sqref="N13"/>
    </sheetView>
  </sheetViews>
  <sheetFormatPr defaultRowHeight="15"/>
  <cols>
    <col min="1" max="1" width="13" customWidth="1"/>
    <col min="2" max="2" width="24.7109375" customWidth="1"/>
    <col min="3" max="3" width="12.42578125" customWidth="1"/>
    <col min="7" max="7" width="16.28515625" bestFit="1" customWidth="1"/>
    <col min="9" max="9" width="24.5703125" customWidth="1"/>
    <col min="10" max="10" width="17.7109375" customWidth="1"/>
    <col min="12" max="12" width="19.140625" customWidth="1"/>
    <col min="13" max="13" width="17.140625" customWidth="1"/>
  </cols>
  <sheetData>
    <row r="2" spans="1:13">
      <c r="A2" s="1" t="s">
        <v>230</v>
      </c>
      <c r="B2" s="1" t="s">
        <v>231</v>
      </c>
      <c r="C2" s="1" t="s">
        <v>232</v>
      </c>
      <c r="F2" t="s">
        <v>233</v>
      </c>
      <c r="G2" s="3">
        <f ca="1">TODAY()</f>
        <v>45976</v>
      </c>
      <c r="I2" s="4" t="s">
        <v>234</v>
      </c>
    </row>
    <row r="3" spans="1:13">
      <c r="A3" s="1"/>
      <c r="B3" s="1"/>
      <c r="C3" s="1"/>
      <c r="F3" t="s">
        <v>235</v>
      </c>
      <c r="G3" s="6">
        <f ca="1">NOW()</f>
        <v>45976.44868321759</v>
      </c>
      <c r="I3" s="14" t="s">
        <v>9</v>
      </c>
      <c r="J3" t="s">
        <v>231</v>
      </c>
      <c r="L3" s="14" t="s">
        <v>236</v>
      </c>
      <c r="M3" t="s">
        <v>231</v>
      </c>
    </row>
    <row r="4" spans="1:13">
      <c r="A4" s="5" t="s">
        <v>237</v>
      </c>
      <c r="B4" s="5" t="s">
        <v>238</v>
      </c>
      <c r="C4" s="5" t="s">
        <v>239</v>
      </c>
    </row>
    <row r="5" spans="1:13">
      <c r="A5" s="1" t="s">
        <v>240</v>
      </c>
      <c r="B5" s="1" t="s">
        <v>241</v>
      </c>
      <c r="C5" s="1">
        <v>2734098</v>
      </c>
      <c r="I5" t="s">
        <v>242</v>
      </c>
      <c r="J5">
        <v>64915.4054054054</v>
      </c>
      <c r="L5" t="s">
        <v>242</v>
      </c>
      <c r="M5">
        <v>2.94285714285714</v>
      </c>
    </row>
    <row r="6" spans="1:13">
      <c r="A6" s="1" t="s">
        <v>243</v>
      </c>
      <c r="B6" s="1" t="s">
        <v>244</v>
      </c>
      <c r="C6" s="1">
        <v>70105.076923076922</v>
      </c>
      <c r="I6" t="s">
        <v>245</v>
      </c>
      <c r="J6">
        <v>2074.71361983305</v>
      </c>
      <c r="L6" t="s">
        <v>245</v>
      </c>
      <c r="M6">
        <v>0.12390810389301</v>
      </c>
    </row>
    <row r="7" spans="1:13">
      <c r="A7" s="1" t="s">
        <v>246</v>
      </c>
      <c r="B7" s="1" t="s">
        <v>247</v>
      </c>
      <c r="C7" s="1">
        <v>30357</v>
      </c>
      <c r="I7" t="s">
        <v>248</v>
      </c>
      <c r="J7">
        <v>65270</v>
      </c>
      <c r="L7" t="s">
        <v>248</v>
      </c>
      <c r="M7">
        <v>3</v>
      </c>
    </row>
    <row r="8" spans="1:13">
      <c r="A8" s="1" t="s">
        <v>249</v>
      </c>
      <c r="B8" s="1" t="s">
        <v>250</v>
      </c>
      <c r="C8" s="1">
        <v>98475</v>
      </c>
      <c r="I8" t="s">
        <v>251</v>
      </c>
      <c r="J8">
        <v>99621</v>
      </c>
      <c r="L8" t="s">
        <v>251</v>
      </c>
      <c r="M8">
        <v>3</v>
      </c>
    </row>
    <row r="9" spans="1:13">
      <c r="A9" s="1" t="s">
        <v>252</v>
      </c>
      <c r="B9" s="1" t="s">
        <v>253</v>
      </c>
      <c r="C9" s="1">
        <v>29</v>
      </c>
      <c r="I9" t="s">
        <v>254</v>
      </c>
      <c r="J9">
        <v>21858.464334888798</v>
      </c>
      <c r="L9" t="s">
        <v>254</v>
      </c>
      <c r="M9">
        <v>1.26968024009508</v>
      </c>
    </row>
    <row r="10" spans="1:13">
      <c r="A10" s="1"/>
      <c r="B10" s="1"/>
      <c r="C10" s="1"/>
      <c r="I10" t="s">
        <v>255</v>
      </c>
      <c r="J10">
        <v>477792463.079606</v>
      </c>
      <c r="L10" t="s">
        <v>255</v>
      </c>
      <c r="M10">
        <v>1.6120879120879099</v>
      </c>
    </row>
    <row r="11" spans="1:13">
      <c r="A11" s="1"/>
      <c r="B11" s="1"/>
      <c r="C11" s="1"/>
      <c r="I11" t="s">
        <v>256</v>
      </c>
      <c r="J11">
        <v>-1.3369003008848499</v>
      </c>
      <c r="L11" t="s">
        <v>256</v>
      </c>
      <c r="M11">
        <v>-0.79238224624248599</v>
      </c>
    </row>
    <row r="12" spans="1:13">
      <c r="A12" s="5" t="s">
        <v>257</v>
      </c>
      <c r="B12" s="5" t="s">
        <v>238</v>
      </c>
      <c r="C12" s="5" t="s">
        <v>239</v>
      </c>
      <c r="I12" t="s">
        <v>258</v>
      </c>
      <c r="J12">
        <v>-2.9906722164208002E-2</v>
      </c>
      <c r="L12" t="s">
        <v>258</v>
      </c>
      <c r="M12">
        <v>2.27990672384712E-2</v>
      </c>
    </row>
    <row r="13" spans="1:13">
      <c r="A13" s="1" t="s">
        <v>259</v>
      </c>
      <c r="B13" s="1" t="s">
        <v>260</v>
      </c>
      <c r="C13" s="1" t="s">
        <v>261</v>
      </c>
      <c r="I13" t="s">
        <v>262</v>
      </c>
      <c r="J13">
        <v>69264</v>
      </c>
      <c r="L13" t="s">
        <v>262</v>
      </c>
      <c r="M13">
        <v>4</v>
      </c>
    </row>
    <row r="14" spans="1:13">
      <c r="A14" s="1" t="s">
        <v>263</v>
      </c>
      <c r="B14" s="1" t="s">
        <v>264</v>
      </c>
      <c r="C14" s="1">
        <v>573093</v>
      </c>
      <c r="I14" t="s">
        <v>265</v>
      </c>
      <c r="J14">
        <v>30357</v>
      </c>
      <c r="L14" t="s">
        <v>265</v>
      </c>
      <c r="M14">
        <v>1</v>
      </c>
    </row>
    <row r="15" spans="1:13">
      <c r="A15" s="1" t="s">
        <v>266</v>
      </c>
      <c r="B15" s="1" t="s">
        <v>267</v>
      </c>
      <c r="C15" s="1">
        <v>74248.428571428565</v>
      </c>
      <c r="I15" t="s">
        <v>268</v>
      </c>
      <c r="J15">
        <v>99621</v>
      </c>
      <c r="L15" t="s">
        <v>268</v>
      </c>
      <c r="M15">
        <v>5</v>
      </c>
    </row>
    <row r="16" spans="1:13">
      <c r="A16" s="1" t="s">
        <v>269</v>
      </c>
      <c r="B16" s="1" t="s">
        <v>270</v>
      </c>
      <c r="C16" s="1">
        <v>9</v>
      </c>
      <c r="I16" t="s">
        <v>271</v>
      </c>
      <c r="J16">
        <v>7205610</v>
      </c>
      <c r="L16" t="s">
        <v>271</v>
      </c>
      <c r="M16">
        <v>309</v>
      </c>
    </row>
    <row r="17" spans="1:13">
      <c r="A17" s="1"/>
      <c r="B17" s="1"/>
      <c r="C17" s="1"/>
      <c r="I17" t="s">
        <v>272</v>
      </c>
      <c r="J17">
        <v>111</v>
      </c>
      <c r="L17" t="s">
        <v>272</v>
      </c>
      <c r="M17">
        <v>105</v>
      </c>
    </row>
    <row r="18" spans="1:13">
      <c r="A18" s="1"/>
      <c r="B18" s="1"/>
      <c r="C18" s="1"/>
      <c r="I18" t="s">
        <v>273</v>
      </c>
      <c r="J18">
        <v>99621</v>
      </c>
      <c r="L18" t="s">
        <v>273</v>
      </c>
      <c r="M18">
        <v>5</v>
      </c>
    </row>
    <row r="19" spans="1:13">
      <c r="A19" s="5" t="s">
        <v>274</v>
      </c>
      <c r="B19" s="5" t="s">
        <v>238</v>
      </c>
      <c r="C19" s="5" t="s">
        <v>239</v>
      </c>
      <c r="I19" t="s">
        <v>275</v>
      </c>
      <c r="J19">
        <v>30357</v>
      </c>
      <c r="L19" t="s">
        <v>275</v>
      </c>
      <c r="M19">
        <v>1</v>
      </c>
    </row>
    <row r="20" spans="1:13">
      <c r="A20" s="1" t="s">
        <v>276</v>
      </c>
      <c r="B20" s="1" t="s">
        <v>277</v>
      </c>
      <c r="C20" s="1" t="s">
        <v>278</v>
      </c>
      <c r="I20" t="s">
        <v>279</v>
      </c>
      <c r="J20">
        <v>4111.5952961514404</v>
      </c>
      <c r="L20" t="s">
        <v>279</v>
      </c>
      <c r="M20">
        <v>0.24571441296018501</v>
      </c>
    </row>
    <row r="21" spans="1:13">
      <c r="A21" s="1" t="s">
        <v>280</v>
      </c>
      <c r="B21" s="1" t="s">
        <v>281</v>
      </c>
      <c r="C21" s="1" t="s">
        <v>282</v>
      </c>
    </row>
    <row r="22" spans="1:13">
      <c r="A22" s="1" t="s">
        <v>283</v>
      </c>
      <c r="B22" s="1" t="s">
        <v>284</v>
      </c>
      <c r="C22" s="1" t="s">
        <v>285</v>
      </c>
    </row>
    <row r="23" spans="1:13">
      <c r="A23" s="1" t="s">
        <v>286</v>
      </c>
      <c r="B23" s="1" t="s">
        <v>287</v>
      </c>
      <c r="C23" s="1" t="s">
        <v>288</v>
      </c>
    </row>
    <row r="24" spans="1:13">
      <c r="A24" s="1" t="s">
        <v>289</v>
      </c>
      <c r="B24" s="1" t="s">
        <v>290</v>
      </c>
      <c r="C24" s="1" t="s">
        <v>291</v>
      </c>
    </row>
    <row r="25" spans="1:13">
      <c r="A25" s="1" t="s">
        <v>292</v>
      </c>
      <c r="B25" s="1" t="s">
        <v>293</v>
      </c>
      <c r="C25" s="1" t="s">
        <v>29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57B4-3234-4A37-AE79-84F8F9DF397B}">
  <dimension ref="A2:J9"/>
  <sheetViews>
    <sheetView workbookViewId="0">
      <selection activeCell="J6" sqref="J6"/>
    </sheetView>
  </sheetViews>
  <sheetFormatPr defaultRowHeight="15"/>
  <cols>
    <col min="1" max="1" width="14.85546875" bestFit="1" customWidth="1"/>
    <col min="2" max="2" width="16.42578125" bestFit="1" customWidth="1"/>
    <col min="3" max="8" width="13.85546875" bestFit="1" customWidth="1"/>
    <col min="9" max="9" width="11.140625" bestFit="1" customWidth="1"/>
    <col min="10" max="10" width="36.5703125" bestFit="1" customWidth="1"/>
    <col min="11" max="113" width="11.140625" bestFit="1" customWidth="1"/>
    <col min="114" max="114" width="11.42578125" bestFit="1" customWidth="1"/>
  </cols>
  <sheetData>
    <row r="2" spans="1:10">
      <c r="A2" s="9" t="s">
        <v>2</v>
      </c>
      <c r="B2" t="s">
        <v>294</v>
      </c>
    </row>
    <row r="3" spans="1:10">
      <c r="A3" t="s">
        <v>18</v>
      </c>
      <c r="B3" s="2">
        <v>64862.5</v>
      </c>
    </row>
    <row r="4" spans="1:10">
      <c r="A4" t="s">
        <v>12</v>
      </c>
      <c r="B4" s="2">
        <v>64206.9375</v>
      </c>
    </row>
    <row r="5" spans="1:10">
      <c r="A5" t="s">
        <v>33</v>
      </c>
      <c r="B5" s="2">
        <v>66489.882352941175</v>
      </c>
    </row>
    <row r="6" spans="1:10" ht="30.75">
      <c r="A6" t="s">
        <v>66</v>
      </c>
      <c r="B6" s="2">
        <v>62382.388888888891</v>
      </c>
      <c r="J6" s="15" t="s">
        <v>295</v>
      </c>
    </row>
    <row r="7" spans="1:10">
      <c r="A7" t="s">
        <v>51</v>
      </c>
      <c r="B7" s="2">
        <v>65373.782608695656</v>
      </c>
    </row>
    <row r="8" spans="1:10">
      <c r="A8" t="s">
        <v>24</v>
      </c>
      <c r="B8" s="2">
        <v>65361.181818181816</v>
      </c>
    </row>
    <row r="9" spans="1:10">
      <c r="A9" t="s">
        <v>296</v>
      </c>
      <c r="B9" s="2">
        <v>64820.223214285717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43A0-BC1D-4229-9831-65B81B1F2836}">
  <dimension ref="A2:J21"/>
  <sheetViews>
    <sheetView topLeftCell="D1" workbookViewId="0">
      <selection activeCell="J21" sqref="J21"/>
    </sheetView>
  </sheetViews>
  <sheetFormatPr defaultRowHeight="15"/>
  <cols>
    <col min="1" max="1" width="13" bestFit="1" customWidth="1"/>
    <col min="2" max="2" width="14.85546875" bestFit="1" customWidth="1"/>
    <col min="3" max="8" width="13.85546875" bestFit="1" customWidth="1"/>
    <col min="10" max="10" width="36.5703125" bestFit="1" customWidth="1"/>
  </cols>
  <sheetData>
    <row r="2" spans="1:8">
      <c r="A2" s="9" t="s">
        <v>297</v>
      </c>
      <c r="B2" s="9" t="s">
        <v>2</v>
      </c>
    </row>
    <row r="3" spans="1:8">
      <c r="A3" s="9" t="s">
        <v>3</v>
      </c>
      <c r="B3" t="s">
        <v>18</v>
      </c>
      <c r="C3" t="s">
        <v>12</v>
      </c>
      <c r="D3" t="s">
        <v>33</v>
      </c>
      <c r="E3" t="s">
        <v>66</v>
      </c>
      <c r="F3" t="s">
        <v>51</v>
      </c>
      <c r="G3" t="s">
        <v>24</v>
      </c>
      <c r="H3" t="s">
        <v>296</v>
      </c>
    </row>
    <row r="4" spans="1:8">
      <c r="A4" t="s">
        <v>57</v>
      </c>
      <c r="B4" s="2">
        <v>137442</v>
      </c>
      <c r="C4" s="2">
        <v>69420</v>
      </c>
      <c r="D4" s="2">
        <v>70470</v>
      </c>
      <c r="E4" s="2">
        <v>245325</v>
      </c>
      <c r="F4" s="2">
        <v>293163</v>
      </c>
      <c r="G4" s="2">
        <v>354767</v>
      </c>
      <c r="H4" s="2">
        <v>1170587</v>
      </c>
    </row>
    <row r="5" spans="1:8">
      <c r="A5" t="s">
        <v>13</v>
      </c>
      <c r="B5" s="2">
        <v>63184</v>
      </c>
      <c r="C5" s="2">
        <v>635075</v>
      </c>
      <c r="D5" s="2">
        <v>291041</v>
      </c>
      <c r="E5" s="2">
        <v>34402</v>
      </c>
      <c r="F5" s="2">
        <v>233365</v>
      </c>
      <c r="G5" s="2">
        <v>192674</v>
      </c>
      <c r="H5" s="2">
        <v>1449741</v>
      </c>
    </row>
    <row r="6" spans="1:8">
      <c r="A6" t="s">
        <v>34</v>
      </c>
      <c r="B6" s="2">
        <v>287562</v>
      </c>
      <c r="C6" s="2">
        <v>58245</v>
      </c>
      <c r="D6" s="2">
        <v>324206</v>
      </c>
      <c r="E6" s="2">
        <v>262145</v>
      </c>
      <c r="F6" s="2">
        <v>315488</v>
      </c>
      <c r="G6" s="2">
        <v>466701</v>
      </c>
      <c r="H6" s="2">
        <v>1714347</v>
      </c>
    </row>
    <row r="7" spans="1:8">
      <c r="A7" t="s">
        <v>42</v>
      </c>
      <c r="B7" s="2">
        <v>212668</v>
      </c>
      <c r="C7" s="2">
        <v>189352</v>
      </c>
      <c r="D7" s="2">
        <v>181691</v>
      </c>
      <c r="E7" s="2">
        <v>301827</v>
      </c>
      <c r="F7" s="2">
        <v>332203</v>
      </c>
      <c r="G7" s="2">
        <v>91620</v>
      </c>
      <c r="H7" s="2">
        <v>1309361</v>
      </c>
    </row>
    <row r="8" spans="1:8">
      <c r="A8" t="s">
        <v>25</v>
      </c>
      <c r="B8" s="2">
        <v>246925</v>
      </c>
      <c r="C8" s="2">
        <v>75219</v>
      </c>
      <c r="D8" s="2">
        <v>262920</v>
      </c>
      <c r="E8" s="2">
        <v>279184</v>
      </c>
      <c r="F8" s="2">
        <v>246420</v>
      </c>
      <c r="G8" s="2">
        <v>332184</v>
      </c>
      <c r="H8" s="2">
        <v>1442852</v>
      </c>
    </row>
    <row r="9" spans="1:8">
      <c r="A9" t="s">
        <v>298</v>
      </c>
      <c r="B9" s="2">
        <v>90019</v>
      </c>
      <c r="C9" s="2"/>
      <c r="D9" s="2"/>
      <c r="E9" s="2"/>
      <c r="F9" s="2">
        <v>82958</v>
      </c>
      <c r="G9" s="2"/>
      <c r="H9" s="2">
        <v>172977</v>
      </c>
    </row>
    <row r="10" spans="1:8">
      <c r="A10" t="s">
        <v>296</v>
      </c>
      <c r="B10" s="2">
        <v>1037800</v>
      </c>
      <c r="C10" s="2">
        <v>1027311</v>
      </c>
      <c r="D10" s="2">
        <v>1130328</v>
      </c>
      <c r="E10" s="2">
        <v>1122883</v>
      </c>
      <c r="F10" s="2">
        <v>1503597</v>
      </c>
      <c r="G10" s="2">
        <v>1437946</v>
      </c>
      <c r="H10" s="2">
        <v>7259865</v>
      </c>
    </row>
    <row r="21" spans="8:10" ht="30.75">
      <c r="H21" s="10"/>
      <c r="J21" s="15" t="s">
        <v>299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F225-22AA-4D39-B1E3-241AD76B69DA}">
  <dimension ref="A2:F16"/>
  <sheetViews>
    <sheetView workbookViewId="0">
      <selection activeCell="O18" sqref="O18"/>
    </sheetView>
  </sheetViews>
  <sheetFormatPr defaultRowHeight="15"/>
  <cols>
    <col min="1" max="1" width="15.5703125" bestFit="1" customWidth="1"/>
    <col min="2" max="2" width="10.5703125" bestFit="1" customWidth="1"/>
    <col min="3" max="3" width="5.42578125" bestFit="1" customWidth="1"/>
    <col min="4" max="4" width="6" bestFit="1" customWidth="1"/>
    <col min="5" max="5" width="9.42578125" bestFit="1" customWidth="1"/>
    <col min="6" max="6" width="11.42578125" bestFit="1" customWidth="1"/>
  </cols>
  <sheetData>
    <row r="2" spans="1:6">
      <c r="A2" s="9" t="s">
        <v>300</v>
      </c>
      <c r="B2" s="9" t="s">
        <v>6</v>
      </c>
    </row>
    <row r="3" spans="1:6">
      <c r="A3" s="9" t="s">
        <v>3</v>
      </c>
      <c r="B3" t="s">
        <v>35</v>
      </c>
      <c r="C3" t="s">
        <v>26</v>
      </c>
      <c r="D3" t="s">
        <v>14</v>
      </c>
      <c r="E3" t="s">
        <v>19</v>
      </c>
      <c r="F3" t="s">
        <v>296</v>
      </c>
    </row>
    <row r="4" spans="1:6">
      <c r="A4" t="s">
        <v>57</v>
      </c>
      <c r="B4" s="8">
        <v>8</v>
      </c>
      <c r="C4" s="8">
        <v>3</v>
      </c>
      <c r="D4" s="8">
        <v>4</v>
      </c>
      <c r="E4" s="8">
        <v>4</v>
      </c>
      <c r="F4" s="8">
        <v>19</v>
      </c>
    </row>
    <row r="5" spans="1:6">
      <c r="A5" t="s">
        <v>13</v>
      </c>
      <c r="B5" s="8">
        <v>5</v>
      </c>
      <c r="C5" s="8">
        <v>8</v>
      </c>
      <c r="D5" s="8">
        <v>3</v>
      </c>
      <c r="E5" s="8">
        <v>6</v>
      </c>
      <c r="F5" s="8">
        <v>22</v>
      </c>
    </row>
    <row r="6" spans="1:6">
      <c r="A6" t="s">
        <v>34</v>
      </c>
      <c r="B6" s="8">
        <v>8</v>
      </c>
      <c r="C6" s="8">
        <v>5</v>
      </c>
      <c r="D6" s="8">
        <v>6</v>
      </c>
      <c r="E6" s="8">
        <v>7</v>
      </c>
      <c r="F6" s="8">
        <v>26</v>
      </c>
    </row>
    <row r="7" spans="1:6">
      <c r="A7" t="s">
        <v>42</v>
      </c>
      <c r="B7" s="8">
        <v>5</v>
      </c>
      <c r="C7" s="8">
        <v>3</v>
      </c>
      <c r="D7" s="8">
        <v>3</v>
      </c>
      <c r="E7" s="8">
        <v>10</v>
      </c>
      <c r="F7" s="8">
        <v>21</v>
      </c>
    </row>
    <row r="8" spans="1:6">
      <c r="A8" t="s">
        <v>25</v>
      </c>
      <c r="B8" s="8">
        <v>4</v>
      </c>
      <c r="C8" s="8">
        <v>7</v>
      </c>
      <c r="D8" s="8">
        <v>4</v>
      </c>
      <c r="E8" s="8">
        <v>6</v>
      </c>
      <c r="F8" s="8">
        <v>21</v>
      </c>
    </row>
    <row r="9" spans="1:6">
      <c r="A9" t="s">
        <v>298</v>
      </c>
      <c r="B9" s="8">
        <v>1</v>
      </c>
      <c r="C9" s="8"/>
      <c r="D9" s="8"/>
      <c r="E9" s="8">
        <v>2</v>
      </c>
      <c r="F9" s="8">
        <v>3</v>
      </c>
    </row>
    <row r="10" spans="1:6">
      <c r="A10" t="s">
        <v>296</v>
      </c>
      <c r="B10" s="8">
        <v>31</v>
      </c>
      <c r="C10" s="8">
        <v>26</v>
      </c>
      <c r="D10" s="8">
        <v>20</v>
      </c>
      <c r="E10" s="8">
        <v>35</v>
      </c>
      <c r="F10" s="8">
        <v>112</v>
      </c>
    </row>
    <row r="14" spans="1:6">
      <c r="A14" s="11" t="s">
        <v>301</v>
      </c>
      <c r="B14" s="11"/>
      <c r="C14" s="11"/>
      <c r="D14" s="11"/>
    </row>
    <row r="16" spans="1:6">
      <c r="A16" s="11" t="s">
        <v>302</v>
      </c>
      <c r="B16" s="11"/>
      <c r="C16" s="1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01DE-D796-47C8-B6AD-45B9A1660B18}">
  <dimension ref="A2:C18"/>
  <sheetViews>
    <sheetView workbookViewId="0">
      <selection activeCell="E18" sqref="E18"/>
    </sheetView>
  </sheetViews>
  <sheetFormatPr defaultRowHeight="15"/>
  <cols>
    <col min="1" max="1" width="11.85546875" bestFit="1" customWidth="1"/>
    <col min="2" max="2" width="13.85546875" bestFit="1" customWidth="1"/>
    <col min="3" max="3" width="28.7109375" bestFit="1" customWidth="1"/>
  </cols>
  <sheetData>
    <row r="2" spans="1:3">
      <c r="A2" s="9" t="s">
        <v>1</v>
      </c>
      <c r="B2" t="s">
        <v>297</v>
      </c>
      <c r="C2" t="s">
        <v>303</v>
      </c>
    </row>
    <row r="3" spans="1:3">
      <c r="A3" t="s">
        <v>45</v>
      </c>
      <c r="B3" s="2">
        <v>264705</v>
      </c>
      <c r="C3" s="8">
        <v>5</v>
      </c>
    </row>
    <row r="4" spans="1:3">
      <c r="A4" t="s">
        <v>11</v>
      </c>
      <c r="B4" s="2">
        <v>254536</v>
      </c>
      <c r="C4" s="8">
        <v>5</v>
      </c>
    </row>
    <row r="5" spans="1:3">
      <c r="A5" t="s">
        <v>54</v>
      </c>
      <c r="B5" s="2">
        <v>207429</v>
      </c>
      <c r="C5" s="8">
        <v>5</v>
      </c>
    </row>
    <row r="6" spans="1:3">
      <c r="A6" t="s">
        <v>41</v>
      </c>
      <c r="B6" s="2">
        <v>207102</v>
      </c>
      <c r="C6" s="8">
        <v>5</v>
      </c>
    </row>
    <row r="7" spans="1:3">
      <c r="A7" t="s">
        <v>23</v>
      </c>
      <c r="B7" s="2">
        <v>142112</v>
      </c>
      <c r="C7" s="8">
        <v>5</v>
      </c>
    </row>
    <row r="8" spans="1:3">
      <c r="A8" t="s">
        <v>29</v>
      </c>
      <c r="B8" s="2">
        <v>97239</v>
      </c>
      <c r="C8" s="8">
        <v>5</v>
      </c>
    </row>
    <row r="9" spans="1:3">
      <c r="A9" t="s">
        <v>296</v>
      </c>
      <c r="B9" s="2">
        <v>1173123</v>
      </c>
      <c r="C9" s="8">
        <v>5</v>
      </c>
    </row>
    <row r="14" spans="1:3">
      <c r="A14" s="11" t="s">
        <v>304</v>
      </c>
      <c r="B14" s="11"/>
      <c r="C14" s="11"/>
    </row>
    <row r="15" spans="1:3">
      <c r="A15" s="10"/>
      <c r="C15" s="10"/>
    </row>
    <row r="18" spans="1:3">
      <c r="A18" s="16" t="s">
        <v>305</v>
      </c>
      <c r="B18" s="11"/>
      <c r="C18" s="1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27DB-C94B-4D04-8B4A-2C648788A1B3}">
  <dimension ref="A2:B13"/>
  <sheetViews>
    <sheetView topLeftCell="D1" workbookViewId="0">
      <selection activeCell="D11" sqref="D11"/>
    </sheetView>
  </sheetViews>
  <sheetFormatPr defaultRowHeight="15"/>
  <cols>
    <col min="1" max="1" width="11.42578125" bestFit="1" customWidth="1"/>
    <col min="2" max="3" width="14.28515625" bestFit="1" customWidth="1"/>
    <col min="4" max="7" width="11.140625" bestFit="1" customWidth="1"/>
    <col min="8" max="8" width="11.42578125" bestFit="1" customWidth="1"/>
  </cols>
  <sheetData>
    <row r="2" spans="1:2">
      <c r="A2" s="9" t="s">
        <v>3</v>
      </c>
      <c r="B2" t="s">
        <v>306</v>
      </c>
    </row>
    <row r="3" spans="1:2">
      <c r="A3" t="s">
        <v>57</v>
      </c>
      <c r="B3" s="8">
        <v>19</v>
      </c>
    </row>
    <row r="4" spans="1:2">
      <c r="A4" t="s">
        <v>13</v>
      </c>
      <c r="B4" s="8">
        <v>22</v>
      </c>
    </row>
    <row r="5" spans="1:2">
      <c r="A5" t="s">
        <v>34</v>
      </c>
      <c r="B5" s="8">
        <v>26</v>
      </c>
    </row>
    <row r="6" spans="1:2">
      <c r="A6" t="s">
        <v>42</v>
      </c>
      <c r="B6" s="8">
        <v>21</v>
      </c>
    </row>
    <row r="7" spans="1:2">
      <c r="A7" t="s">
        <v>25</v>
      </c>
      <c r="B7" s="8">
        <v>21</v>
      </c>
    </row>
    <row r="8" spans="1:2">
      <c r="A8" t="s">
        <v>298</v>
      </c>
      <c r="B8" s="8">
        <v>3</v>
      </c>
    </row>
    <row r="9" spans="1:2">
      <c r="A9" t="s">
        <v>296</v>
      </c>
      <c r="B9" s="8">
        <v>112</v>
      </c>
    </row>
    <row r="13" spans="1:2">
      <c r="A13" s="11" t="s">
        <v>307</v>
      </c>
      <c r="B13" s="11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0458-745E-4695-A1A1-12C358C27C7E}">
  <dimension ref="A2:B14"/>
  <sheetViews>
    <sheetView workbookViewId="0">
      <selection activeCell="A14" sqref="A14"/>
    </sheetView>
  </sheetViews>
  <sheetFormatPr defaultRowHeight="15"/>
  <cols>
    <col min="1" max="1" width="31.42578125" bestFit="1" customWidth="1"/>
    <col min="2" max="2" width="13" bestFit="1" customWidth="1"/>
    <col min="3" max="113" width="11.140625" bestFit="1" customWidth="1"/>
    <col min="114" max="114" width="11.42578125" bestFit="1" customWidth="1"/>
  </cols>
  <sheetData>
    <row r="2" spans="1:2">
      <c r="A2" s="9" t="s">
        <v>1</v>
      </c>
      <c r="B2" t="s">
        <v>308</v>
      </c>
    </row>
    <row r="3" spans="1:2">
      <c r="A3" t="s">
        <v>17</v>
      </c>
      <c r="B3" s="2">
        <v>97881</v>
      </c>
    </row>
    <row r="4" spans="1:2">
      <c r="A4" t="s">
        <v>54</v>
      </c>
      <c r="B4" s="2">
        <v>92959</v>
      </c>
    </row>
    <row r="5" spans="1:2">
      <c r="A5" t="s">
        <v>41</v>
      </c>
      <c r="B5" s="2">
        <v>97981</v>
      </c>
    </row>
    <row r="6" spans="1:2">
      <c r="A6" t="s">
        <v>11</v>
      </c>
      <c r="B6" s="2">
        <v>96949</v>
      </c>
    </row>
    <row r="7" spans="1:2">
      <c r="A7" t="s">
        <v>29</v>
      </c>
      <c r="B7" s="2">
        <v>95621</v>
      </c>
    </row>
    <row r="8" spans="1:2">
      <c r="A8" t="s">
        <v>23</v>
      </c>
      <c r="B8" s="2">
        <v>94406</v>
      </c>
    </row>
    <row r="9" spans="1:2">
      <c r="A9" t="s">
        <v>45</v>
      </c>
      <c r="B9" s="2">
        <v>99621</v>
      </c>
    </row>
    <row r="10" spans="1:2">
      <c r="A10" t="s">
        <v>296</v>
      </c>
      <c r="B10" s="2">
        <v>99621</v>
      </c>
    </row>
    <row r="14" spans="1:2">
      <c r="A14" s="11" t="s">
        <v>309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2005-2F4B-4D30-BCFF-DE70DAB5724A}">
  <dimension ref="A1:X48"/>
  <sheetViews>
    <sheetView workbookViewId="0">
      <selection activeCell="A8" sqref="A8"/>
    </sheetView>
  </sheetViews>
  <sheetFormatPr defaultRowHeight="15"/>
  <cols>
    <col min="11" max="11" width="36.5703125" bestFit="1" customWidth="1"/>
  </cols>
  <sheetData>
    <row r="1" spans="1:2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54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3" t="s">
        <v>310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7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idden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2025-11-14T11:25:01Z</dcterms:created>
  <dcterms:modified xsi:type="dcterms:W3CDTF">2025-11-15T05:35:52Z</dcterms:modified>
  <cp:category/>
  <cp:contentStatus/>
</cp:coreProperties>
</file>